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snh9977\Downloads\"/>
    </mc:Choice>
  </mc:AlternateContent>
  <xr:revisionPtr revIDLastSave="0" documentId="13_ncr:1_{D317CD21-409F-4D4D-A3AB-F8BD0F998C2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-alanine_Ligand" sheetId="1" r:id="rId1"/>
    <sheet name="S-alanine_Ligand" sheetId="2" r:id="rId2"/>
    <sheet name="Glycine_Ligand" sheetId="3" r:id="rId3"/>
    <sheet name="Isotropic Change_X" sheetId="4" r:id="rId4"/>
    <sheet name="Isotropic Change_Y" sheetId="6" r:id="rId5"/>
    <sheet name="Geometry factor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6" l="1"/>
  <c r="D5" i="6"/>
  <c r="D4" i="6"/>
  <c r="D3" i="6"/>
  <c r="D2" i="6"/>
  <c r="I9" i="1"/>
  <c r="E13" i="1"/>
  <c r="L5" i="4"/>
  <c r="F5" i="4"/>
  <c r="M79" i="2"/>
  <c r="I7" i="5" s="1"/>
  <c r="M61" i="2"/>
  <c r="I6" i="5"/>
  <c r="M70" i="2"/>
  <c r="I4" i="5"/>
  <c r="I3" i="5"/>
  <c r="B7" i="5"/>
  <c r="B6" i="5"/>
  <c r="B5" i="5"/>
  <c r="B4" i="5"/>
  <c r="B3" i="5"/>
  <c r="M7" i="2"/>
  <c r="D3" i="4"/>
  <c r="D4" i="4"/>
  <c r="D5" i="4"/>
  <c r="D6" i="4"/>
  <c r="D2" i="4"/>
  <c r="I63" i="3"/>
  <c r="J63" i="3"/>
  <c r="K63" i="3"/>
  <c r="D65" i="3"/>
  <c r="I15" i="3"/>
  <c r="J15" i="3"/>
  <c r="K15" i="3"/>
  <c r="D17" i="3"/>
  <c r="I21" i="3"/>
  <c r="J21" i="3"/>
  <c r="K21" i="3"/>
  <c r="D23" i="3"/>
  <c r="I39" i="3"/>
  <c r="J39" i="3"/>
  <c r="K39" i="3"/>
  <c r="D41" i="3"/>
  <c r="I33" i="3"/>
  <c r="J33" i="3"/>
  <c r="K33" i="3"/>
  <c r="D35" i="3"/>
  <c r="I45" i="3"/>
  <c r="J45" i="3"/>
  <c r="K45" i="3"/>
  <c r="D47" i="3"/>
  <c r="I51" i="3"/>
  <c r="J51" i="3"/>
  <c r="K51" i="3"/>
  <c r="D53" i="3"/>
  <c r="I57" i="3"/>
  <c r="J57" i="3"/>
  <c r="K57" i="3"/>
  <c r="D59" i="3"/>
  <c r="D11" i="3"/>
  <c r="I36" i="2"/>
  <c r="I18" i="2"/>
  <c r="J18" i="2"/>
  <c r="K18" i="2"/>
  <c r="M16" i="2" s="1"/>
  <c r="D20" i="2"/>
  <c r="D21" i="2"/>
  <c r="E21" i="2"/>
  <c r="F21" i="2"/>
  <c r="E22" i="2"/>
  <c r="F22" i="2"/>
  <c r="F23" i="2"/>
  <c r="I27" i="2"/>
  <c r="J27" i="2"/>
  <c r="K27" i="2"/>
  <c r="M25" i="2" s="1"/>
  <c r="D29" i="2"/>
  <c r="D30" i="2"/>
  <c r="E30" i="2"/>
  <c r="F30" i="2"/>
  <c r="E31" i="2"/>
  <c r="F31" i="2"/>
  <c r="F32" i="2"/>
  <c r="J36" i="2"/>
  <c r="K36" i="2"/>
  <c r="M34" i="2" s="1"/>
  <c r="D38" i="2"/>
  <c r="D39" i="2"/>
  <c r="E39" i="2"/>
  <c r="F39" i="2"/>
  <c r="E40" i="2"/>
  <c r="F40" i="2"/>
  <c r="F41" i="2"/>
  <c r="I45" i="2"/>
  <c r="J45" i="2"/>
  <c r="K45" i="2"/>
  <c r="M43" i="2" s="1"/>
  <c r="D47" i="2"/>
  <c r="D48" i="2"/>
  <c r="E48" i="2"/>
  <c r="F48" i="2"/>
  <c r="E49" i="2"/>
  <c r="F49" i="2"/>
  <c r="F50" i="2"/>
  <c r="I54" i="2"/>
  <c r="J54" i="2"/>
  <c r="K54" i="2"/>
  <c r="M52" i="2" s="1"/>
  <c r="D56" i="2"/>
  <c r="D57" i="2"/>
  <c r="E57" i="2"/>
  <c r="F57" i="2"/>
  <c r="E58" i="2"/>
  <c r="F58" i="2"/>
  <c r="F59" i="2"/>
  <c r="I63" i="2"/>
  <c r="J63" i="2"/>
  <c r="K63" i="2"/>
  <c r="D65" i="2"/>
  <c r="D66" i="2"/>
  <c r="E66" i="2"/>
  <c r="F66" i="2"/>
  <c r="E67" i="2"/>
  <c r="F67" i="2"/>
  <c r="F68" i="2"/>
  <c r="I72" i="2"/>
  <c r="J72" i="2"/>
  <c r="K72" i="2"/>
  <c r="D74" i="2"/>
  <c r="D75" i="2"/>
  <c r="E75" i="2"/>
  <c r="F75" i="2"/>
  <c r="E76" i="2"/>
  <c r="F76" i="2"/>
  <c r="F77" i="2"/>
  <c r="I81" i="2"/>
  <c r="J81" i="2"/>
  <c r="K81" i="2"/>
  <c r="D83" i="2"/>
  <c r="D84" i="2"/>
  <c r="E84" i="2"/>
  <c r="F84" i="2"/>
  <c r="E85" i="2"/>
  <c r="F85" i="2"/>
  <c r="F86" i="2"/>
  <c r="I59" i="1"/>
  <c r="J59" i="1"/>
  <c r="K59" i="1"/>
  <c r="M57" i="1" s="1"/>
  <c r="D61" i="1"/>
  <c r="D63" i="1"/>
  <c r="E63" i="1"/>
  <c r="F63" i="1"/>
  <c r="E64" i="1"/>
  <c r="F64" i="1"/>
  <c r="F65" i="1"/>
  <c r="I69" i="1"/>
  <c r="J69" i="1"/>
  <c r="K69" i="1"/>
  <c r="M67" i="1" s="1"/>
  <c r="D71" i="1"/>
  <c r="D73" i="1"/>
  <c r="E73" i="1"/>
  <c r="F73" i="1"/>
  <c r="E74" i="1"/>
  <c r="F74" i="1"/>
  <c r="F75" i="1"/>
  <c r="I79" i="1"/>
  <c r="J79" i="1"/>
  <c r="K79" i="1"/>
  <c r="M77" i="1" s="1"/>
  <c r="D81" i="1"/>
  <c r="D83" i="1"/>
  <c r="E83" i="1"/>
  <c r="F83" i="1"/>
  <c r="E84" i="1"/>
  <c r="F84" i="1"/>
  <c r="F85" i="1"/>
  <c r="I89" i="1"/>
  <c r="J89" i="1"/>
  <c r="K89" i="1"/>
  <c r="M87" i="1" s="1"/>
  <c r="D91" i="1"/>
  <c r="D93" i="1"/>
  <c r="E93" i="1"/>
  <c r="F93" i="1"/>
  <c r="E94" i="1"/>
  <c r="F94" i="1"/>
  <c r="F95" i="1"/>
  <c r="I39" i="1"/>
  <c r="J39" i="1"/>
  <c r="K39" i="1"/>
  <c r="M37" i="1" s="1"/>
  <c r="D41" i="1"/>
  <c r="D43" i="1"/>
  <c r="E43" i="1"/>
  <c r="F43" i="1"/>
  <c r="E44" i="1"/>
  <c r="F44" i="1"/>
  <c r="F45" i="1"/>
  <c r="I49" i="1"/>
  <c r="J49" i="1"/>
  <c r="K49" i="1"/>
  <c r="M47" i="1" s="1"/>
  <c r="D51" i="1"/>
  <c r="D53" i="1"/>
  <c r="E53" i="1"/>
  <c r="F53" i="1"/>
  <c r="E54" i="1"/>
  <c r="F54" i="1"/>
  <c r="F55" i="1"/>
  <c r="I29" i="1"/>
  <c r="J29" i="1"/>
  <c r="K29" i="1"/>
  <c r="M27" i="1" s="1"/>
  <c r="D31" i="1"/>
  <c r="D33" i="1"/>
  <c r="E33" i="1"/>
  <c r="F33" i="1"/>
  <c r="E34" i="1"/>
  <c r="F34" i="1"/>
  <c r="F35" i="1"/>
  <c r="I19" i="1"/>
  <c r="J19" i="1"/>
  <c r="K19" i="1"/>
  <c r="D21" i="1"/>
  <c r="D23" i="1"/>
  <c r="E23" i="1"/>
  <c r="F23" i="1"/>
  <c r="E24" i="1"/>
  <c r="F24" i="1"/>
  <c r="F25" i="1"/>
  <c r="E12" i="2"/>
  <c r="F13" i="2"/>
  <c r="F14" i="2"/>
  <c r="E13" i="2"/>
  <c r="F12" i="2"/>
  <c r="D12" i="2"/>
  <c r="D11" i="2"/>
  <c r="F14" i="1"/>
  <c r="F15" i="1"/>
  <c r="E14" i="1"/>
  <c r="F13" i="1"/>
  <c r="D13" i="1"/>
  <c r="D11" i="1"/>
  <c r="V26" i="1"/>
  <c r="V27" i="1" s="1"/>
  <c r="W9" i="3"/>
  <c r="X9" i="3"/>
  <c r="V9" i="3"/>
  <c r="W9" i="2"/>
  <c r="X9" i="2"/>
  <c r="V9" i="2"/>
  <c r="J9" i="3"/>
  <c r="K9" i="3"/>
  <c r="I9" i="3"/>
  <c r="J9" i="2"/>
  <c r="K9" i="2"/>
  <c r="I9" i="2"/>
  <c r="J9" i="1"/>
  <c r="K9" i="1"/>
  <c r="I5" i="5" l="1"/>
  <c r="Z7" i="3"/>
  <c r="M17" i="1"/>
  <c r="Z7" i="2"/>
  <c r="M7" i="1"/>
</calcChain>
</file>

<file path=xl/sharedStrings.xml><?xml version="1.0" encoding="utf-8"?>
<sst xmlns="http://schemas.openxmlformats.org/spreadsheetml/2006/main" count="470" uniqueCount="43">
  <si>
    <t>Optimization+Frequency</t>
  </si>
  <si>
    <t>B972/pcseg -2</t>
  </si>
  <si>
    <t>GAUSSIAN</t>
  </si>
  <si>
    <t>MP2/aug-cc-pvdz</t>
  </si>
  <si>
    <t>NMR</t>
  </si>
  <si>
    <t>B3LYP/pcs2</t>
  </si>
  <si>
    <t>Electric Field (au)</t>
  </si>
  <si>
    <t xml:space="preserve">Magnetic Tensor </t>
  </si>
  <si>
    <t xml:space="preserve">Dipole moment </t>
  </si>
  <si>
    <t>Geometry Factor</t>
  </si>
  <si>
    <t>https://www.theochem.ru.nl/units.html</t>
  </si>
  <si>
    <t>Direction</t>
  </si>
  <si>
    <t>magnitude</t>
  </si>
  <si>
    <t>(ppm)</t>
  </si>
  <si>
    <t>(Dybe)</t>
  </si>
  <si>
    <t>ppm-au</t>
  </si>
  <si>
    <t>1 debye</t>
  </si>
  <si>
    <t>au</t>
  </si>
  <si>
    <t>X</t>
  </si>
  <si>
    <t>Y</t>
  </si>
  <si>
    <t>Z</t>
  </si>
  <si>
    <t>(au)</t>
  </si>
  <si>
    <t>Isotropic</t>
  </si>
  <si>
    <t>ACS</t>
  </si>
  <si>
    <t>electric field in magneto chiral model</t>
  </si>
  <si>
    <t>V/m</t>
  </si>
  <si>
    <t>Reference</t>
  </si>
  <si>
    <t>Optimization</t>
  </si>
  <si>
    <t>MP2/aug-cc-PVDZ</t>
  </si>
  <si>
    <t>https://www.nature.com/articles/s41598-018-27110-z</t>
  </si>
  <si>
    <t>Value</t>
  </si>
  <si>
    <t>MP2/au-cc-pvdz</t>
  </si>
  <si>
    <t>B3LYP/pcs -2</t>
  </si>
  <si>
    <t xml:space="preserve">291.9269
  </t>
  </si>
  <si>
    <t>x</t>
  </si>
  <si>
    <t>Y Direction</t>
  </si>
  <si>
    <t>Electric Field</t>
  </si>
  <si>
    <t>Difference</t>
  </si>
  <si>
    <t>Glycine</t>
  </si>
  <si>
    <t>X direction</t>
  </si>
  <si>
    <t>Electric_Field</t>
  </si>
  <si>
    <t>R_Alanine</t>
  </si>
  <si>
    <t>S_Alanine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</si>
</sst>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Aptos Narrow"/>
      <family val="2"/>
      <scheme val="minor"/>
    </font>
    <font>
      <sz val="10"/>
      <color theme="1"/>
      <name val="Courier New"/>
      <family val="1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1" fillId="0" borderId="0" xfId="1"/>
    <xf numFmtId="164" fontId="3" fillId="0" borderId="0" xfId="0" applyNumberFormat="1" applyFont="1"/>
    <xf numFmtId="164" fontId="0" fillId="0" borderId="0" xfId="0" applyNumberFormat="1"/>
    <xf numFmtId="0" fontId="6" fillId="0" borderId="0" xfId="0" applyFont="1"/>
    <xf numFmtId="0" fontId="7" fillId="0" borderId="0" xfId="0" applyFont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2" fillId="3" borderId="0" xfId="0" applyFont="1" applyFill="1"/>
    <xf numFmtId="0" fontId="4" fillId="3" borderId="0" xfId="0" applyFont="1" applyFill="1"/>
    <xf numFmtId="0" fontId="0" fillId="3" borderId="0" xfId="0" applyFill="1"/>
    <xf numFmtId="0" fontId="5" fillId="3" borderId="0" xfId="0" applyFont="1" applyFill="1"/>
    <xf numFmtId="0" fontId="0" fillId="4" borderId="0" xfId="0" applyFill="1"/>
    <xf numFmtId="0" fontId="2" fillId="4" borderId="0" xfId="0" applyFont="1" applyFill="1"/>
    <xf numFmtId="0" fontId="3" fillId="4" borderId="0" xfId="0" applyFont="1" applyFill="1"/>
    <xf numFmtId="0" fontId="2" fillId="0" borderId="0" xfId="0" applyFont="1"/>
    <xf numFmtId="0" fontId="0" fillId="2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R-Alanine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E87331"/>
              </a:solidFill>
              <a:ln w="9525">
                <a:solidFill>
                  <a:srgbClr val="E87331"/>
                </a:solidFill>
                <a:prstDash val="solid"/>
              </a:ln>
              <a:effectLst/>
            </c:spPr>
          </c:marker>
          <c:xVal>
            <c:numRef>
              <c:f>'Isotropic Change_X'!$A$2:$A$6</c:f>
              <c:numCache>
                <c:formatCode>General</c:formatCode>
                <c:ptCount val="5"/>
                <c:pt idx="0">
                  <c:v>0</c:v>
                </c:pt>
                <c:pt idx="1">
                  <c:v>1E-3</c:v>
                </c:pt>
                <c:pt idx="2">
                  <c:v>-1E-3</c:v>
                </c:pt>
                <c:pt idx="3">
                  <c:v>2E-3</c:v>
                </c:pt>
                <c:pt idx="4">
                  <c:v>-2E-3</c:v>
                </c:pt>
              </c:numCache>
            </c:numRef>
          </c:xVal>
          <c:yVal>
            <c:numRef>
              <c:f>'Isotropic Change_X'!$B$2:$B$6</c:f>
              <c:numCache>
                <c:formatCode>General</c:formatCode>
                <c:ptCount val="5"/>
                <c:pt idx="0">
                  <c:v>261.35469999999998</c:v>
                </c:pt>
                <c:pt idx="1">
                  <c:v>261.47579999999999</c:v>
                </c:pt>
                <c:pt idx="2">
                  <c:v>261.25200000000001</c:v>
                </c:pt>
                <c:pt idx="3">
                  <c:v>261.59679999999997</c:v>
                </c:pt>
                <c:pt idx="4">
                  <c:v>261.14170000000001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6F-4622-81E3-C54C6A5F6C2A}"/>
            </c:ext>
          </c:extLst>
        </c:ser>
        <c:ser>
          <c:idx val="1"/>
          <c:order val="1"/>
          <c:tx>
            <c:v>S-Alanine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8ED973"/>
              </a:solidFill>
              <a:ln w="9525">
                <a:solidFill>
                  <a:srgbClr val="8ED973"/>
                </a:solidFill>
                <a:prstDash val="solid"/>
              </a:ln>
              <a:effectLst/>
            </c:spPr>
          </c:marker>
          <c:xVal>
            <c:numRef>
              <c:f>'Isotropic Change_X'!$A$2:$A$6</c:f>
              <c:numCache>
                <c:formatCode>General</c:formatCode>
                <c:ptCount val="5"/>
                <c:pt idx="0">
                  <c:v>0</c:v>
                </c:pt>
                <c:pt idx="1">
                  <c:v>1E-3</c:v>
                </c:pt>
                <c:pt idx="2">
                  <c:v>-1E-3</c:v>
                </c:pt>
                <c:pt idx="3">
                  <c:v>2E-3</c:v>
                </c:pt>
                <c:pt idx="4">
                  <c:v>-2E-3</c:v>
                </c:pt>
              </c:numCache>
            </c:numRef>
          </c:xVal>
          <c:yVal>
            <c:numRef>
              <c:f>'Isotropic Change_X'!$C$2:$C$6</c:f>
              <c:numCache>
                <c:formatCode>General</c:formatCode>
                <c:ptCount val="5"/>
                <c:pt idx="0">
                  <c:v>261.35660000000001</c:v>
                </c:pt>
                <c:pt idx="1">
                  <c:v>261.25080000000003</c:v>
                </c:pt>
                <c:pt idx="2">
                  <c:v>261.47190000000001</c:v>
                </c:pt>
                <c:pt idx="3">
                  <c:v>261.1463</c:v>
                </c:pt>
                <c:pt idx="4">
                  <c:v>261.59699999999998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6F-4622-81E3-C54C6A5F6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205704"/>
        <c:axId val="1242228232"/>
      </c:scatterChart>
      <c:valAx>
        <c:axId val="1242205704"/>
        <c:scaling>
          <c:orientation val="minMax"/>
          <c:max val="2E-3"/>
          <c:min val="-2E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Electric Field/ a.u.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228232"/>
        <c:crosses val="autoZero"/>
        <c:crossBetween val="midCat"/>
        <c:majorUnit val="1E-3"/>
      </c:valAx>
      <c:valAx>
        <c:axId val="1242228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Isotropic Chemical Shift/ ppm</a:t>
                </a:r>
              </a:p>
            </c:rich>
          </c:tx>
          <c:layout>
            <c:manualLayout>
              <c:xMode val="edge"/>
              <c:yMode val="edge"/>
              <c:x val="1.8431372549019609E-2"/>
              <c:y val="0.327110474827010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20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R-Alanine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E87331"/>
              </a:solidFill>
              <a:ln w="9525">
                <a:solidFill>
                  <a:srgbClr val="E87331"/>
                </a:solidFill>
                <a:prstDash val="solid"/>
              </a:ln>
              <a:effectLst/>
            </c:spPr>
          </c:marker>
          <c:xVal>
            <c:numRef>
              <c:f>'Isotropic Change_Y'!$A$2:$A$6</c:f>
              <c:numCache>
                <c:formatCode>General</c:formatCode>
                <c:ptCount val="5"/>
                <c:pt idx="0">
                  <c:v>0</c:v>
                </c:pt>
                <c:pt idx="1">
                  <c:v>1E-3</c:v>
                </c:pt>
                <c:pt idx="2">
                  <c:v>-1E-3</c:v>
                </c:pt>
                <c:pt idx="3">
                  <c:v>2E-3</c:v>
                </c:pt>
                <c:pt idx="4">
                  <c:v>-2E-3</c:v>
                </c:pt>
              </c:numCache>
            </c:numRef>
          </c:xVal>
          <c:yVal>
            <c:numRef>
              <c:f>'Isotropic Change_Y'!$B$2:$B$6</c:f>
              <c:numCache>
                <c:formatCode>General</c:formatCode>
                <c:ptCount val="5"/>
                <c:pt idx="0">
                  <c:v>261.35469999999998</c:v>
                </c:pt>
                <c:pt idx="1">
                  <c:v>261.49709999999999</c:v>
                </c:pt>
                <c:pt idx="2">
                  <c:v>261.17610000000002</c:v>
                </c:pt>
                <c:pt idx="3">
                  <c:v>261.60120000000001</c:v>
                </c:pt>
                <c:pt idx="4">
                  <c:v>260.94009999999997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6B-4838-9FDF-0CBC67C4E6CA}"/>
            </c:ext>
          </c:extLst>
        </c:ser>
        <c:ser>
          <c:idx val="1"/>
          <c:order val="1"/>
          <c:tx>
            <c:v>S-Alanine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8ED973"/>
              </a:solidFill>
              <a:ln w="9525">
                <a:solidFill>
                  <a:srgbClr val="8ED973"/>
                </a:solidFill>
                <a:prstDash val="solid"/>
              </a:ln>
              <a:effectLst/>
            </c:spPr>
          </c:marker>
          <c:xVal>
            <c:numRef>
              <c:f>'Isotropic Change_Y'!$A$2:$A$6</c:f>
              <c:numCache>
                <c:formatCode>General</c:formatCode>
                <c:ptCount val="5"/>
                <c:pt idx="0">
                  <c:v>0</c:v>
                </c:pt>
                <c:pt idx="1">
                  <c:v>1E-3</c:v>
                </c:pt>
                <c:pt idx="2">
                  <c:v>-1E-3</c:v>
                </c:pt>
                <c:pt idx="3">
                  <c:v>2E-3</c:v>
                </c:pt>
                <c:pt idx="4">
                  <c:v>-2E-3</c:v>
                </c:pt>
              </c:numCache>
            </c:numRef>
          </c:xVal>
          <c:yVal>
            <c:numRef>
              <c:f>'Isotropic Change_Y'!$C$2:$C$6</c:f>
              <c:numCache>
                <c:formatCode>General</c:formatCode>
                <c:ptCount val="5"/>
                <c:pt idx="0">
                  <c:v>261.35660000000001</c:v>
                </c:pt>
                <c:pt idx="1">
                  <c:v>261.4914</c:v>
                </c:pt>
                <c:pt idx="2">
                  <c:v>261.18400000000003</c:v>
                </c:pt>
                <c:pt idx="3">
                  <c:v>261.61419999999998</c:v>
                </c:pt>
                <c:pt idx="4">
                  <c:v>260.92970000000003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6B-4838-9FDF-0CBC67C4E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918471"/>
        <c:axId val="1504757767"/>
      </c:scatterChart>
      <c:valAx>
        <c:axId val="985918471"/>
        <c:scaling>
          <c:orientation val="minMax"/>
          <c:max val="2E-3"/>
          <c:min val="-2E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Electric Field/ a.u.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57767"/>
        <c:crosses val="autoZero"/>
        <c:crossBetween val="midCat"/>
        <c:majorUnit val="1E-3"/>
      </c:valAx>
      <c:valAx>
        <c:axId val="1504757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Isotropic Chemical Shift/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918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xVal>
            <c:numRef>
              <c:f>'Isotropic Change_X'!$A$2:$A$6</c:f>
              <c:numCache>
                <c:formatCode>General</c:formatCode>
                <c:ptCount val="5"/>
                <c:pt idx="0">
                  <c:v>0</c:v>
                </c:pt>
                <c:pt idx="1">
                  <c:v>1E-3</c:v>
                </c:pt>
                <c:pt idx="2">
                  <c:v>-1E-3</c:v>
                </c:pt>
                <c:pt idx="3">
                  <c:v>2E-3</c:v>
                </c:pt>
                <c:pt idx="4">
                  <c:v>-2E-3</c:v>
                </c:pt>
              </c:numCache>
            </c:numRef>
          </c:xVal>
          <c:yVal>
            <c:numRef>
              <c:f>'Isotropic Change_X'!$E$2:$E$6</c:f>
              <c:numCache>
                <c:formatCode>General</c:formatCode>
                <c:ptCount val="5"/>
                <c:pt idx="0">
                  <c:v>267.3732</c:v>
                </c:pt>
                <c:pt idx="1">
                  <c:v>267.42129999999997</c:v>
                </c:pt>
                <c:pt idx="2">
                  <c:v>267.32069999999999</c:v>
                </c:pt>
                <c:pt idx="3">
                  <c:v>267.49590000000001</c:v>
                </c:pt>
                <c:pt idx="4">
                  <c:v>267.26600000000002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75-214A-A457-7F46E3EA9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578032"/>
        <c:axId val="2090288256"/>
      </c:scatterChart>
      <c:valAx>
        <c:axId val="1353578032"/>
        <c:scaling>
          <c:orientation val="minMax"/>
          <c:max val="2E-3"/>
          <c:min val="-2E-3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Electric Field/ a.u.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88256"/>
        <c:crosses val="autoZero"/>
        <c:crossBetween val="midCat"/>
        <c:majorUnit val="1E-3"/>
      </c:valAx>
      <c:valAx>
        <c:axId val="209028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Isotropic Chemical Shift/ ppm</a:t>
                </a:r>
              </a:p>
              <a:p>
                <a:pPr>
                  <a:defRPr sz="1400"/>
                </a:pP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57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xVal>
            <c:numRef>
              <c:f>'Isotropic Change_Y'!$A$2:$A$6</c:f>
              <c:numCache>
                <c:formatCode>General</c:formatCode>
                <c:ptCount val="5"/>
                <c:pt idx="0">
                  <c:v>0</c:v>
                </c:pt>
                <c:pt idx="1">
                  <c:v>1E-3</c:v>
                </c:pt>
                <c:pt idx="2">
                  <c:v>-1E-3</c:v>
                </c:pt>
                <c:pt idx="3">
                  <c:v>2E-3</c:v>
                </c:pt>
                <c:pt idx="4">
                  <c:v>-2E-3</c:v>
                </c:pt>
              </c:numCache>
            </c:numRef>
          </c:xVal>
          <c:yVal>
            <c:numRef>
              <c:f>'Isotropic Change_Y'!$E$2:$E$6</c:f>
              <c:numCache>
                <c:formatCode>General</c:formatCode>
                <c:ptCount val="5"/>
                <c:pt idx="0">
                  <c:v>267.3732</c:v>
                </c:pt>
                <c:pt idx="1">
                  <c:v>267.18040000000002</c:v>
                </c:pt>
                <c:pt idx="2">
                  <c:v>267.53750000000002</c:v>
                </c:pt>
                <c:pt idx="3">
                  <c:v>266.99189999999999</c:v>
                </c:pt>
                <c:pt idx="4">
                  <c:v>267.72910000000002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F5-B84D-B6BD-226B948A5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711168"/>
        <c:axId val="951712880"/>
      </c:scatterChart>
      <c:valAx>
        <c:axId val="951711168"/>
        <c:scaling>
          <c:orientation val="minMax"/>
          <c:max val="2E-3"/>
          <c:min val="-2E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Electric Field/ a.u.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12880"/>
        <c:crosses val="autoZero"/>
        <c:crossBetween val="midCat"/>
        <c:majorUnit val="1E-3"/>
      </c:valAx>
      <c:valAx>
        <c:axId val="95171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Isotropic Chemical Shift/ ppm</a:t>
                </a:r>
              </a:p>
              <a:p>
                <a:pPr>
                  <a:defRPr sz="1400"/>
                </a:pPr>
                <a:endParaRPr lang="en-US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1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'Geometry factor'!$A$3:$A$7</c:f>
              <c:numCache>
                <c:formatCode>General</c:formatCode>
                <c:ptCount val="5"/>
                <c:pt idx="0">
                  <c:v>0</c:v>
                </c:pt>
                <c:pt idx="1">
                  <c:v>1E-3</c:v>
                </c:pt>
                <c:pt idx="2">
                  <c:v>-1E-3</c:v>
                </c:pt>
                <c:pt idx="3">
                  <c:v>2E-3</c:v>
                </c:pt>
                <c:pt idx="4">
                  <c:v>-2E-3</c:v>
                </c:pt>
              </c:numCache>
            </c:numRef>
          </c:xVal>
          <c:yVal>
            <c:numRef>
              <c:f>'Geometry factor'!$B$3:$B$7</c:f>
              <c:numCache>
                <c:formatCode>General</c:formatCode>
                <c:ptCount val="5"/>
                <c:pt idx="0">
                  <c:v>1.0528333492152</c:v>
                </c:pt>
                <c:pt idx="1">
                  <c:v>0.79498740111167998</c:v>
                </c:pt>
                <c:pt idx="2">
                  <c:v>1.3601896560235205</c:v>
                </c:pt>
                <c:pt idx="3">
                  <c:v>0.57491107680384046</c:v>
                </c:pt>
                <c:pt idx="4">
                  <c:v>1.7145569749224003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FD-4A41-85CA-354B995EE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2639"/>
        <c:axId val="10008319"/>
      </c:scatterChart>
      <c:valAx>
        <c:axId val="9562639"/>
        <c:scaling>
          <c:orientation val="minMax"/>
          <c:max val="2E-3"/>
          <c:min val="-2E-3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Electric Field/ a.u.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8319"/>
        <c:crosses val="autoZero"/>
        <c:crossBetween val="midCat"/>
        <c:majorUnit val="1E-3"/>
      </c:valAx>
      <c:valAx>
        <c:axId val="1000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Geometry Factor/</a:t>
                </a:r>
                <a:r>
                  <a:rPr lang="en-US" sz="1400" baseline="0"/>
                  <a:t> ppm-a.u.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460822342901484E-2"/>
          <c:y val="6.7657932844601323E-2"/>
          <c:w val="0.90993408795196173"/>
          <c:h val="0.79278283102543212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'Geometry factor'!$H$3:$H$7</c:f>
              <c:numCache>
                <c:formatCode>General</c:formatCode>
                <c:ptCount val="5"/>
                <c:pt idx="0">
                  <c:v>0</c:v>
                </c:pt>
                <c:pt idx="1">
                  <c:v>1E-3</c:v>
                </c:pt>
                <c:pt idx="2">
                  <c:v>-1E-3</c:v>
                </c:pt>
                <c:pt idx="3">
                  <c:v>2E-3</c:v>
                </c:pt>
                <c:pt idx="4">
                  <c:v>-2E-3</c:v>
                </c:pt>
              </c:numCache>
            </c:numRef>
          </c:xVal>
          <c:yVal>
            <c:numRef>
              <c:f>'Geometry factor'!$I$3:$I$7</c:f>
              <c:numCache>
                <c:formatCode>General</c:formatCode>
                <c:ptCount val="5"/>
                <c:pt idx="0">
                  <c:v>1.0528333492152</c:v>
                </c:pt>
                <c:pt idx="1">
                  <c:v>0.80166532520256006</c:v>
                </c:pt>
                <c:pt idx="2">
                  <c:v>1.2479207203209599</c:v>
                </c:pt>
                <c:pt idx="3">
                  <c:v>0.47790298126368014</c:v>
                </c:pt>
                <c:pt idx="4">
                  <c:v>1.26397138405776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C3-5346-9C1D-3F4A2D527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313248"/>
        <c:axId val="950386096"/>
      </c:scatterChart>
      <c:valAx>
        <c:axId val="950313248"/>
        <c:scaling>
          <c:orientation val="minMax"/>
          <c:max val="2E-3"/>
          <c:min val="-2E-3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Electric Field/ a.u.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386096"/>
        <c:crosses val="autoZero"/>
        <c:crossBetween val="midCat"/>
        <c:majorUnit val="1E-3"/>
      </c:valAx>
      <c:valAx>
        <c:axId val="95038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Geometry Factor/ ppm-a.u.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31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238125</xdr:colOff>
      <xdr:row>9</xdr:row>
      <xdr:rowOff>28575</xdr:rowOff>
    </xdr:from>
    <xdr:to>
      <xdr:col>28</xdr:col>
      <xdr:colOff>98425</xdr:colOff>
      <xdr:row>18</xdr:row>
      <xdr:rowOff>161925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DA5E2D06-68D2-496D-9E0F-5B1CA15A2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35225" y="1743075"/>
          <a:ext cx="3994150" cy="1847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571500</xdr:colOff>
      <xdr:row>3</xdr:row>
      <xdr:rowOff>28575</xdr:rowOff>
    </xdr:from>
    <xdr:to>
      <xdr:col>33</xdr:col>
      <xdr:colOff>542925</xdr:colOff>
      <xdr:row>12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1CA9C9-54EE-6A6E-1C73-1CB3B235C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40700" y="600075"/>
          <a:ext cx="4419600" cy="1847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533400</xdr:colOff>
      <xdr:row>2</xdr:row>
      <xdr:rowOff>161925</xdr:rowOff>
    </xdr:from>
    <xdr:to>
      <xdr:col>35</xdr:col>
      <xdr:colOff>228600</xdr:colOff>
      <xdr:row>12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E2448B-E6CD-479D-9B76-828FB8700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54300" y="542925"/>
          <a:ext cx="4419600" cy="1847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304800</xdr:colOff>
      <xdr:row>16</xdr:row>
      <xdr:rowOff>0</xdr:rowOff>
    </xdr:from>
    <xdr:to>
      <xdr:col>28</xdr:col>
      <xdr:colOff>276225</xdr:colOff>
      <xdr:row>32</xdr:row>
      <xdr:rowOff>76200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99FDD62E-1AC9-4D00-513F-108A22B23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390525</xdr:colOff>
      <xdr:row>16</xdr:row>
      <xdr:rowOff>0</xdr:rowOff>
    </xdr:from>
    <xdr:to>
      <xdr:col>19</xdr:col>
      <xdr:colOff>304800</xdr:colOff>
      <xdr:row>32</xdr:row>
      <xdr:rowOff>104775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4293ACFD-9752-9222-58F6-4BB2B3AF8B9F}"/>
            </a:ext>
            <a:ext uri="{147F2762-F138-4A5C-976F-8EAC2B608ADB}">
              <a16:predDERef xmlns:a16="http://schemas.microsoft.com/office/drawing/2014/main" pred="{99FDD62E-1AC9-4D00-513F-108A22B23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295275</xdr:colOff>
      <xdr:row>2</xdr:row>
      <xdr:rowOff>57150</xdr:rowOff>
    </xdr:from>
    <xdr:to>
      <xdr:col>28</xdr:col>
      <xdr:colOff>276225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36C9C5-0843-B8A8-491C-89616D415F9E}"/>
            </a:ext>
            <a:ext uri="{147F2762-F138-4A5C-976F-8EAC2B608ADB}">
              <a16:predDERef xmlns:a16="http://schemas.microsoft.com/office/drawing/2014/main" pred="{4293ACFD-9752-9222-58F6-4BB2B3AF8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390525</xdr:colOff>
      <xdr:row>2</xdr:row>
      <xdr:rowOff>57150</xdr:rowOff>
    </xdr:from>
    <xdr:to>
      <xdr:col>19</xdr:col>
      <xdr:colOff>295275</xdr:colOff>
      <xdr:row>15</xdr:row>
      <xdr:rowOff>171450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154A8AFE-1480-72CF-63C2-382F8D327BD5}"/>
            </a:ext>
            <a:ext uri="{147F2762-F138-4A5C-976F-8EAC2B608ADB}">
              <a16:predDERef xmlns:a16="http://schemas.microsoft.com/office/drawing/2014/main" pred="{D536C9C5-0843-B8A8-491C-89616D415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101600</xdr:colOff>
      <xdr:row>28</xdr:row>
      <xdr:rowOff>3175</xdr:rowOff>
    </xdr:from>
    <xdr:to>
      <xdr:col>27</xdr:col>
      <xdr:colOff>485775</xdr:colOff>
      <xdr:row>51</xdr:row>
      <xdr:rowOff>79375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94E5C90-942B-2FB2-B4EE-7C3777B54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307975</xdr:colOff>
      <xdr:row>28</xdr:row>
      <xdr:rowOff>3175</xdr:rowOff>
    </xdr:from>
    <xdr:to>
      <xdr:col>29</xdr:col>
      <xdr:colOff>377825</xdr:colOff>
      <xdr:row>52</xdr:row>
      <xdr:rowOff>79375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F250F50D-BDA9-FD21-AF18-33807C10DC05}"/>
            </a:ext>
            <a:ext uri="{147F2762-F138-4A5C-976F-8EAC2B608ADB}">
              <a16:predDERef xmlns:a16="http://schemas.microsoft.com/office/drawing/2014/main" pred="{D94E5C90-942B-2FB2-B4EE-7C3777B54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theochem.ru.nl/units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theochem.ru.nl/units.html" TargetMode="External"/><Relationship Id="rId1" Type="http://schemas.openxmlformats.org/officeDocument/2006/relationships/hyperlink" Target="https://www.nature.com/articles/s41598-018-27110-z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149"/>
  <sheetViews>
    <sheetView workbookViewId="0">
      <selection activeCell="N12" sqref="N12"/>
    </sheetView>
  </sheetViews>
  <sheetFormatPr defaultColWidth="8.875" defaultRowHeight="14.25"/>
  <cols>
    <col min="2" max="2" width="23" bestFit="1" customWidth="1"/>
    <col min="3" max="3" width="21" bestFit="1" customWidth="1"/>
    <col min="4" max="4" width="13" bestFit="1" customWidth="1"/>
    <col min="5" max="6" width="10.75" bestFit="1" customWidth="1"/>
    <col min="7" max="7" width="10.75" customWidth="1"/>
    <col min="13" max="13" width="12.875" customWidth="1"/>
    <col min="17" max="17" width="23" bestFit="1" customWidth="1"/>
    <col min="18" max="18" width="15.75" bestFit="1" customWidth="1"/>
    <col min="32" max="32" width="35.375" bestFit="1" customWidth="1"/>
  </cols>
  <sheetData>
    <row r="2" spans="1:34" ht="15">
      <c r="B2" s="10" t="s">
        <v>0</v>
      </c>
      <c r="C2" s="11" t="s">
        <v>1</v>
      </c>
      <c r="D2" s="13" t="s">
        <v>2</v>
      </c>
      <c r="Q2" s="10" t="s">
        <v>0</v>
      </c>
      <c r="R2" s="11" t="s">
        <v>3</v>
      </c>
      <c r="S2" s="13" t="s">
        <v>2</v>
      </c>
    </row>
    <row r="3" spans="1:34" ht="15">
      <c r="B3" s="10" t="s">
        <v>4</v>
      </c>
      <c r="C3" s="11" t="s">
        <v>1</v>
      </c>
      <c r="D3" s="13" t="s">
        <v>2</v>
      </c>
      <c r="Q3" s="10" t="s">
        <v>4</v>
      </c>
      <c r="R3" s="11" t="s">
        <v>5</v>
      </c>
      <c r="S3" s="13" t="s">
        <v>2</v>
      </c>
    </row>
    <row r="4" spans="1:34">
      <c r="A4" s="21" t="s">
        <v>6</v>
      </c>
      <c r="B4" s="21"/>
      <c r="C4" s="14" t="s">
        <v>7</v>
      </c>
      <c r="D4" s="14"/>
      <c r="E4" s="14"/>
      <c r="F4" s="14"/>
      <c r="G4" s="14"/>
      <c r="H4" s="14"/>
      <c r="I4" s="14" t="s">
        <v>8</v>
      </c>
      <c r="J4" s="14"/>
      <c r="K4" s="14"/>
      <c r="L4" s="14"/>
      <c r="M4" s="14" t="s">
        <v>9</v>
      </c>
      <c r="N4" s="14"/>
      <c r="Q4" s="14" t="s">
        <v>6</v>
      </c>
      <c r="R4" s="14" t="s">
        <v>7</v>
      </c>
      <c r="S4" s="14"/>
      <c r="T4" s="14"/>
      <c r="U4" s="14"/>
      <c r="V4" s="14"/>
      <c r="W4" s="14" t="s">
        <v>8</v>
      </c>
      <c r="X4" s="14"/>
      <c r="Y4" s="14"/>
      <c r="Z4" s="14"/>
      <c r="AA4" s="14" t="s">
        <v>9</v>
      </c>
      <c r="AB4" s="14"/>
      <c r="AF4" s="2" t="s">
        <v>10</v>
      </c>
    </row>
    <row r="5" spans="1:34" ht="15">
      <c r="A5" s="14" t="s">
        <v>11</v>
      </c>
      <c r="B5" s="15" t="s">
        <v>12</v>
      </c>
      <c r="C5" s="15" t="s">
        <v>13</v>
      </c>
      <c r="D5" s="15"/>
      <c r="E5" s="16"/>
      <c r="F5" s="14"/>
      <c r="G5" s="14"/>
      <c r="H5" s="14"/>
      <c r="I5" s="14" t="s">
        <v>14</v>
      </c>
      <c r="J5" s="14"/>
      <c r="K5" s="14"/>
      <c r="L5" s="14"/>
      <c r="M5" s="14" t="s">
        <v>15</v>
      </c>
      <c r="N5" s="14"/>
      <c r="Q5" s="15"/>
      <c r="R5" s="15" t="s">
        <v>13</v>
      </c>
      <c r="S5" s="15"/>
      <c r="T5" s="16"/>
      <c r="U5" s="14"/>
      <c r="V5" s="14"/>
      <c r="W5" s="14" t="s">
        <v>14</v>
      </c>
      <c r="X5" s="14"/>
      <c r="Y5" s="14"/>
      <c r="Z5" s="14"/>
      <c r="AA5" s="14" t="s">
        <v>15</v>
      </c>
      <c r="AB5" s="14"/>
      <c r="AF5" t="s">
        <v>16</v>
      </c>
      <c r="AG5" s="5">
        <v>0.39345599999999997</v>
      </c>
      <c r="AH5" t="s">
        <v>17</v>
      </c>
    </row>
    <row r="6" spans="1:34">
      <c r="B6">
        <v>0</v>
      </c>
      <c r="D6" t="s">
        <v>18</v>
      </c>
      <c r="E6" t="s">
        <v>19</v>
      </c>
      <c r="F6" t="s">
        <v>20</v>
      </c>
      <c r="I6" t="s">
        <v>18</v>
      </c>
      <c r="J6" t="s">
        <v>19</v>
      </c>
      <c r="K6" t="s">
        <v>20</v>
      </c>
    </row>
    <row r="7" spans="1:34" ht="15">
      <c r="D7" s="6">
        <v>259.35390000000001</v>
      </c>
      <c r="E7" s="4">
        <v>-9.4982000000000006</v>
      </c>
      <c r="F7" s="6">
        <v>-4.9246999999999996</v>
      </c>
      <c r="G7" t="s">
        <v>18</v>
      </c>
      <c r="I7" s="6">
        <v>-1.5363</v>
      </c>
      <c r="J7" s="6">
        <v>0.4753</v>
      </c>
      <c r="K7" s="6">
        <v>-3.1600000000000003E-2</v>
      </c>
      <c r="M7">
        <f>(D8-E7)*K9 + (E9-F8)*I9 + (F7-D9)*J9</f>
        <v>-1.0461711948407997</v>
      </c>
    </row>
    <row r="8" spans="1:34" ht="15">
      <c r="D8" s="3">
        <v>-7.1269999999999998</v>
      </c>
      <c r="E8" s="6">
        <v>262.67630000000003</v>
      </c>
      <c r="F8" s="4">
        <v>5.7689000000000004</v>
      </c>
      <c r="G8" t="s">
        <v>19</v>
      </c>
      <c r="I8" t="s">
        <v>21</v>
      </c>
    </row>
    <row r="9" spans="1:34" ht="15">
      <c r="D9" s="6">
        <v>1.4350000000000001</v>
      </c>
      <c r="E9" s="6">
        <v>5.4832999999999998</v>
      </c>
      <c r="F9" s="6">
        <v>262.03399999999999</v>
      </c>
      <c r="G9" t="s">
        <v>20</v>
      </c>
      <c r="I9">
        <f>I7*$AG$5</f>
        <v>-0.6044664528</v>
      </c>
      <c r="J9">
        <f>J7*$AG$5</f>
        <v>0.18700963679999999</v>
      </c>
      <c r="K9">
        <f>K7*$AG$5</f>
        <v>-1.24332096E-2</v>
      </c>
    </row>
    <row r="11" spans="1:34">
      <c r="C11" t="s">
        <v>22</v>
      </c>
      <c r="D11">
        <f>AVERAGE(D7,E8,F9)</f>
        <v>261.35473333333334</v>
      </c>
    </row>
    <row r="13" spans="1:34">
      <c r="C13" t="s">
        <v>23</v>
      </c>
      <c r="D13">
        <f>D7-D7</f>
        <v>0</v>
      </c>
      <c r="E13">
        <f>(E7-D8)/2</f>
        <v>-1.1856000000000004</v>
      </c>
      <c r="F13">
        <f>(F7-D9)/2</f>
        <v>-3.1798500000000001</v>
      </c>
    </row>
    <row r="14" spans="1:34">
      <c r="E14">
        <f>E8-E8</f>
        <v>0</v>
      </c>
      <c r="F14">
        <f>(F8-E9)/2</f>
        <v>0.14280000000000026</v>
      </c>
    </row>
    <row r="15" spans="1:34">
      <c r="F15">
        <f>F9-F9</f>
        <v>0</v>
      </c>
    </row>
    <row r="16" spans="1:34">
      <c r="A16" s="19" t="s">
        <v>18</v>
      </c>
      <c r="B16">
        <v>1E-3</v>
      </c>
      <c r="D16" t="s">
        <v>18</v>
      </c>
      <c r="E16" t="s">
        <v>19</v>
      </c>
      <c r="F16" t="s">
        <v>20</v>
      </c>
      <c r="I16" t="s">
        <v>18</v>
      </c>
      <c r="J16" t="s">
        <v>19</v>
      </c>
      <c r="K16" t="s">
        <v>20</v>
      </c>
    </row>
    <row r="17" spans="1:23" ht="15">
      <c r="A17" s="19"/>
      <c r="D17" s="6">
        <v>259.51580000000001</v>
      </c>
      <c r="E17" s="4">
        <v>-9.6329999999999991</v>
      </c>
      <c r="F17" s="6">
        <v>-5.1696</v>
      </c>
      <c r="G17" t="s">
        <v>18</v>
      </c>
      <c r="I17" s="6">
        <v>-1.6467000000000001</v>
      </c>
      <c r="J17" s="6">
        <v>0.48380000000000001</v>
      </c>
      <c r="K17" s="6">
        <v>-7.0199999999999999E-2</v>
      </c>
      <c r="M17">
        <f>(D18-E17)*K19 + (E19-F18)*I19 + (F17-D19)*J19</f>
        <v>-1.3616210292787196</v>
      </c>
    </row>
    <row r="18" spans="1:23" ht="15">
      <c r="A18" s="19"/>
      <c r="D18" s="3">
        <v>-7.3010000000000002</v>
      </c>
      <c r="E18" s="6">
        <v>262.72129999999999</v>
      </c>
      <c r="F18" s="4">
        <v>5.2892000000000001</v>
      </c>
      <c r="G18" t="s">
        <v>19</v>
      </c>
      <c r="I18" t="s">
        <v>21</v>
      </c>
    </row>
    <row r="19" spans="1:23" ht="15">
      <c r="A19" s="19"/>
      <c r="D19" s="6">
        <v>1.1617999999999999</v>
      </c>
      <c r="E19" s="6">
        <v>5.4311999999999996</v>
      </c>
      <c r="F19" s="6">
        <v>262.19029999999998</v>
      </c>
      <c r="G19" t="s">
        <v>20</v>
      </c>
      <c r="I19">
        <f>I17*$AG$5</f>
        <v>-0.64790399519999997</v>
      </c>
      <c r="J19">
        <f t="shared" ref="J19:K19" si="0">J17*$AG$5</f>
        <v>0.1903540128</v>
      </c>
      <c r="K19">
        <f t="shared" si="0"/>
        <v>-2.7620611199999999E-2</v>
      </c>
    </row>
    <row r="20" spans="1:23">
      <c r="A20" s="19"/>
    </row>
    <row r="21" spans="1:23">
      <c r="A21" s="19"/>
      <c r="C21" t="s">
        <v>22</v>
      </c>
      <c r="D21">
        <f t="shared" ref="D21" si="1">AVERAGE(D17,E18,F19)</f>
        <v>261.47579999999999</v>
      </c>
    </row>
    <row r="22" spans="1:23">
      <c r="A22" s="19"/>
    </row>
    <row r="23" spans="1:23">
      <c r="A23" s="19"/>
      <c r="C23" t="s">
        <v>23</v>
      </c>
      <c r="D23">
        <f t="shared" ref="D23" si="2">D17-D17</f>
        <v>0</v>
      </c>
      <c r="E23">
        <f t="shared" ref="E23" si="3">(E17-D18)/2</f>
        <v>-1.1659999999999995</v>
      </c>
      <c r="F23">
        <f t="shared" ref="F23" si="4">(F17-D19)/2</f>
        <v>-3.1657000000000002</v>
      </c>
    </row>
    <row r="24" spans="1:23">
      <c r="A24" s="19"/>
      <c r="E24">
        <f t="shared" ref="E24" si="5">E18-E18</f>
        <v>0</v>
      </c>
      <c r="F24">
        <f t="shared" ref="F24" si="6">(F18-E19)/2</f>
        <v>-7.099999999999973E-2</v>
      </c>
    </row>
    <row r="25" spans="1:23">
      <c r="A25" s="19"/>
      <c r="F25">
        <f t="shared" ref="F25" si="7">F19-F19</f>
        <v>0</v>
      </c>
    </row>
    <row r="26" spans="1:23">
      <c r="A26" s="19"/>
      <c r="D26" t="s">
        <v>18</v>
      </c>
      <c r="E26" t="s">
        <v>19</v>
      </c>
      <c r="F26" t="s">
        <v>20</v>
      </c>
      <c r="I26" t="s">
        <v>18</v>
      </c>
      <c r="J26" t="s">
        <v>19</v>
      </c>
      <c r="K26" t="s">
        <v>20</v>
      </c>
      <c r="U26" t="s">
        <v>24</v>
      </c>
      <c r="V26">
        <f>0.015*2.99*10^8*30</f>
        <v>134550000</v>
      </c>
      <c r="W26" t="s">
        <v>25</v>
      </c>
    </row>
    <row r="27" spans="1:23" ht="15">
      <c r="A27" s="19" t="s">
        <v>18</v>
      </c>
      <c r="B27">
        <v>-1E-3</v>
      </c>
      <c r="D27" s="6">
        <v>259.1977</v>
      </c>
      <c r="E27" s="4">
        <v>-9.3991000000000007</v>
      </c>
      <c r="F27" s="6">
        <v>-4.6715</v>
      </c>
      <c r="G27" t="s">
        <v>18</v>
      </c>
      <c r="I27" s="6">
        <v>-1.4271</v>
      </c>
      <c r="J27" s="6">
        <v>0.46989999999999998</v>
      </c>
      <c r="K27" s="6">
        <v>7.1999999999999998E-3</v>
      </c>
      <c r="M27">
        <f t="shared" ref="M27" si="8">(D28-E27)*K29 + (E29-F28)*I29 + (F27-D29)*J29</f>
        <v>-0.79340756116944011</v>
      </c>
      <c r="V27">
        <f>V26/(5.14*10^11)</f>
        <v>2.6177042801556422E-4</v>
      </c>
    </row>
    <row r="28" spans="1:23" ht="15">
      <c r="A28" s="19"/>
      <c r="D28" s="3">
        <v>-6.9543999999999997</v>
      </c>
      <c r="E28" s="6">
        <v>262.68040000000002</v>
      </c>
      <c r="F28" s="4">
        <v>6.1929999999999996</v>
      </c>
      <c r="G28" t="s">
        <v>19</v>
      </c>
      <c r="I28" t="s">
        <v>21</v>
      </c>
    </row>
    <row r="29" spans="1:23" ht="15">
      <c r="A29" s="19"/>
      <c r="D29" s="6">
        <v>1.6981999999999999</v>
      </c>
      <c r="E29" s="6">
        <v>5.5209999999999999</v>
      </c>
      <c r="F29" s="6">
        <v>261.87779999999998</v>
      </c>
      <c r="G29" t="s">
        <v>20</v>
      </c>
      <c r="I29">
        <f t="shared" ref="I29:K29" si="9">I27*$AG$5</f>
        <v>-0.56150105760000002</v>
      </c>
      <c r="J29">
        <f t="shared" si="9"/>
        <v>0.18488497439999999</v>
      </c>
      <c r="K29">
        <f t="shared" si="9"/>
        <v>2.8328831999999997E-3</v>
      </c>
    </row>
    <row r="30" spans="1:23">
      <c r="A30" s="19"/>
    </row>
    <row r="31" spans="1:23">
      <c r="A31" s="19"/>
      <c r="C31" t="s">
        <v>22</v>
      </c>
      <c r="D31">
        <f t="shared" ref="D31" si="10">AVERAGE(D27,E28,F29)</f>
        <v>261.25196666666665</v>
      </c>
    </row>
    <row r="32" spans="1:23">
      <c r="A32" s="19"/>
    </row>
    <row r="33" spans="1:13">
      <c r="A33" s="19"/>
      <c r="C33" t="s">
        <v>23</v>
      </c>
      <c r="D33">
        <f t="shared" ref="D33:D93" si="11">D27-D27</f>
        <v>0</v>
      </c>
      <c r="E33">
        <f t="shared" ref="E33:E93" si="12">(E27-D28)/2</f>
        <v>-1.2223500000000005</v>
      </c>
      <c r="F33">
        <f t="shared" ref="F33" si="13">(F27-D29)/2</f>
        <v>-3.18485</v>
      </c>
    </row>
    <row r="34" spans="1:13">
      <c r="A34" s="19"/>
      <c r="E34">
        <f t="shared" ref="E34" si="14">E28-E28</f>
        <v>0</v>
      </c>
      <c r="F34">
        <f t="shared" ref="F34" si="15">(F28-E29)/2</f>
        <v>0.33599999999999985</v>
      </c>
    </row>
    <row r="35" spans="1:13">
      <c r="A35" s="19"/>
      <c r="F35">
        <f t="shared" ref="F35" si="16">F29-F29</f>
        <v>0</v>
      </c>
    </row>
    <row r="36" spans="1:13">
      <c r="A36" s="19" t="s">
        <v>18</v>
      </c>
      <c r="B36">
        <v>2E-3</v>
      </c>
      <c r="D36" t="s">
        <v>18</v>
      </c>
      <c r="E36" t="s">
        <v>19</v>
      </c>
      <c r="F36" t="s">
        <v>20</v>
      </c>
      <c r="I36" t="s">
        <v>18</v>
      </c>
      <c r="J36" t="s">
        <v>19</v>
      </c>
      <c r="K36" t="s">
        <v>20</v>
      </c>
    </row>
    <row r="37" spans="1:13" ht="15">
      <c r="A37" s="19"/>
      <c r="D37" s="6">
        <v>259.6703</v>
      </c>
      <c r="E37" s="4">
        <v>-9.77</v>
      </c>
      <c r="F37" s="6">
        <v>-5.3987999999999996</v>
      </c>
      <c r="G37" t="s">
        <v>18</v>
      </c>
      <c r="I37" s="6">
        <v>-1.7568999999999999</v>
      </c>
      <c r="J37" s="6">
        <v>0.4929</v>
      </c>
      <c r="K37" s="6">
        <v>-0.10879999999999999</v>
      </c>
      <c r="M37">
        <f t="shared" ref="M37" si="17">(D38-E37)*K39 + (E39-F38)*I39 + (F37-D39)*J39</f>
        <v>-1.7151586753795194</v>
      </c>
    </row>
    <row r="38" spans="1:13" ht="15">
      <c r="A38" s="19"/>
      <c r="D38" s="3">
        <v>-7.4809000000000001</v>
      </c>
      <c r="E38" s="6">
        <v>262.81079999999997</v>
      </c>
      <c r="F38" s="4">
        <v>4.7945000000000002</v>
      </c>
      <c r="G38" t="s">
        <v>19</v>
      </c>
      <c r="I38" t="s">
        <v>21</v>
      </c>
    </row>
    <row r="39" spans="1:13" ht="15">
      <c r="A39" s="19"/>
      <c r="D39" s="6">
        <v>0.88539999999999996</v>
      </c>
      <c r="E39" s="6">
        <v>5.3708999999999998</v>
      </c>
      <c r="F39" s="6">
        <v>262.30939999999998</v>
      </c>
      <c r="G39" t="s">
        <v>20</v>
      </c>
      <c r="I39">
        <f t="shared" ref="I39:K39" si="18">I37*$AG$5</f>
        <v>-0.69126284639999991</v>
      </c>
      <c r="J39">
        <f t="shared" si="18"/>
        <v>0.19393446239999998</v>
      </c>
      <c r="K39">
        <f t="shared" si="18"/>
        <v>-4.2808012799999996E-2</v>
      </c>
    </row>
    <row r="40" spans="1:13">
      <c r="A40" s="19"/>
    </row>
    <row r="41" spans="1:13">
      <c r="A41" s="19"/>
      <c r="C41" t="s">
        <v>22</v>
      </c>
      <c r="D41">
        <f t="shared" ref="D41" si="19">AVERAGE(D37,E38,F39)</f>
        <v>261.59683333333334</v>
      </c>
    </row>
    <row r="42" spans="1:13">
      <c r="A42" s="19"/>
    </row>
    <row r="43" spans="1:13">
      <c r="A43" s="19"/>
      <c r="C43" t="s">
        <v>23</v>
      </c>
      <c r="D43">
        <f t="shared" si="11"/>
        <v>0</v>
      </c>
      <c r="E43">
        <f t="shared" si="12"/>
        <v>-1.1445499999999997</v>
      </c>
      <c r="F43">
        <f t="shared" ref="F43" si="20">(F37-D39)/2</f>
        <v>-3.1420999999999997</v>
      </c>
    </row>
    <row r="44" spans="1:13">
      <c r="A44" s="19"/>
      <c r="E44">
        <f t="shared" ref="E44:E94" si="21">E38-E38</f>
        <v>0</v>
      </c>
      <c r="F44">
        <f t="shared" ref="F44:F94" si="22">(F38-E39)/2</f>
        <v>-0.28819999999999979</v>
      </c>
    </row>
    <row r="45" spans="1:13">
      <c r="A45" s="19"/>
      <c r="F45">
        <f t="shared" ref="F45:F95" si="23">F39-F39</f>
        <v>0</v>
      </c>
    </row>
    <row r="46" spans="1:13">
      <c r="A46" s="19" t="s">
        <v>18</v>
      </c>
      <c r="B46">
        <v>-2E-3</v>
      </c>
      <c r="D46" t="s">
        <v>18</v>
      </c>
      <c r="E46" t="s">
        <v>19</v>
      </c>
      <c r="F46" t="s">
        <v>20</v>
      </c>
      <c r="I46" t="s">
        <v>18</v>
      </c>
      <c r="J46" t="s">
        <v>19</v>
      </c>
      <c r="K46" t="s">
        <v>20</v>
      </c>
    </row>
    <row r="47" spans="1:13" ht="15">
      <c r="D47" s="6">
        <v>259.02710000000002</v>
      </c>
      <c r="E47" s="4">
        <v>-9.3112999999999992</v>
      </c>
      <c r="F47" s="6">
        <v>-4.3959999999999999</v>
      </c>
      <c r="G47" t="s">
        <v>18</v>
      </c>
      <c r="I47" s="6">
        <v>-1.3176000000000001</v>
      </c>
      <c r="J47" s="6">
        <v>0.46650000000000003</v>
      </c>
      <c r="K47" s="6">
        <v>4.7100000000000003E-2</v>
      </c>
      <c r="M47">
        <f t="shared" ref="M47" si="24">(D48-E47)*K49 + (E49-F48)*I49 + (F47-D49)*J49</f>
        <v>-0.57810241415807972</v>
      </c>
    </row>
    <row r="48" spans="1:13" ht="15">
      <c r="D48" s="3">
        <v>-6.7819000000000003</v>
      </c>
      <c r="E48" s="6">
        <v>262.72140000000002</v>
      </c>
      <c r="F48" s="4">
        <v>6.5951000000000004</v>
      </c>
      <c r="G48" t="s">
        <v>19</v>
      </c>
      <c r="I48" t="s">
        <v>21</v>
      </c>
    </row>
    <row r="49" spans="1:13" ht="15">
      <c r="D49" s="6">
        <v>1.9641999999999999</v>
      </c>
      <c r="E49" s="6">
        <v>5.5488</v>
      </c>
      <c r="F49" s="6">
        <v>261.67660000000001</v>
      </c>
      <c r="G49" t="s">
        <v>20</v>
      </c>
      <c r="I49">
        <f t="shared" ref="I49:K49" si="25">I47*$AG$5</f>
        <v>-0.51841762560000004</v>
      </c>
      <c r="J49">
        <f t="shared" si="25"/>
        <v>0.18354722400000001</v>
      </c>
      <c r="K49">
        <f t="shared" si="25"/>
        <v>1.85317776E-2</v>
      </c>
    </row>
    <row r="51" spans="1:13">
      <c r="C51" t="s">
        <v>22</v>
      </c>
      <c r="D51">
        <f t="shared" ref="D51" si="26">AVERAGE(D47,E48,F49)</f>
        <v>261.14170000000001</v>
      </c>
    </row>
    <row r="53" spans="1:13">
      <c r="C53" t="s">
        <v>23</v>
      </c>
      <c r="D53">
        <f t="shared" si="11"/>
        <v>0</v>
      </c>
      <c r="E53">
        <f t="shared" si="12"/>
        <v>-1.2646999999999995</v>
      </c>
      <c r="F53">
        <f t="shared" ref="F53" si="27">(F47-D49)/2</f>
        <v>-3.1800999999999999</v>
      </c>
    </row>
    <row r="54" spans="1:13">
      <c r="E54">
        <f t="shared" si="21"/>
        <v>0</v>
      </c>
      <c r="F54">
        <f t="shared" si="22"/>
        <v>0.52315000000000023</v>
      </c>
    </row>
    <row r="55" spans="1:13">
      <c r="F55">
        <f t="shared" si="23"/>
        <v>0</v>
      </c>
    </row>
    <row r="56" spans="1:13">
      <c r="A56" s="20" t="s">
        <v>19</v>
      </c>
      <c r="B56">
        <v>1E-3</v>
      </c>
      <c r="D56" t="s">
        <v>18</v>
      </c>
      <c r="E56" t="s">
        <v>19</v>
      </c>
      <c r="F56" t="s">
        <v>20</v>
      </c>
      <c r="I56" t="s">
        <v>18</v>
      </c>
      <c r="J56" t="s">
        <v>19</v>
      </c>
      <c r="K56" t="s">
        <v>20</v>
      </c>
    </row>
    <row r="57" spans="1:13" ht="15">
      <c r="A57" s="20"/>
      <c r="D57" s="6">
        <v>259.48349999999999</v>
      </c>
      <c r="E57" s="4">
        <v>-9.4160000000000004</v>
      </c>
      <c r="F57" s="6">
        <v>-5.2241999999999997</v>
      </c>
      <c r="G57" t="s">
        <v>18</v>
      </c>
      <c r="I57" s="6">
        <v>-1.5301</v>
      </c>
      <c r="J57" s="6">
        <v>0.38019999999999998</v>
      </c>
      <c r="K57" s="6">
        <v>-5.3499999999999999E-2</v>
      </c>
      <c r="M57">
        <f t="shared" ref="M57" si="28">(D58-E57)*K59 + (E59-F58)*I59 + (F57-D59)*J59</f>
        <v>-0.79322155484543966</v>
      </c>
    </row>
    <row r="58" spans="1:13" ht="15">
      <c r="A58" s="20"/>
      <c r="D58" s="3">
        <v>-7.4309000000000003</v>
      </c>
      <c r="E58" s="6">
        <v>262.93990000000002</v>
      </c>
      <c r="F58" s="4">
        <v>5.6364000000000001</v>
      </c>
      <c r="G58" t="s">
        <v>19</v>
      </c>
      <c r="I58" t="s">
        <v>21</v>
      </c>
    </row>
    <row r="59" spans="1:13" ht="15">
      <c r="A59" s="20"/>
      <c r="D59" s="6">
        <v>1.2249000000000001</v>
      </c>
      <c r="E59" s="6">
        <v>5.2820999999999998</v>
      </c>
      <c r="F59" s="6">
        <v>262.06790000000001</v>
      </c>
      <c r="G59" t="s">
        <v>20</v>
      </c>
      <c r="I59">
        <f t="shared" ref="I59:K59" si="29">I57*$AG$5</f>
        <v>-0.60202702559999999</v>
      </c>
      <c r="J59">
        <f t="shared" si="29"/>
        <v>0.14959197119999998</v>
      </c>
      <c r="K59">
        <f t="shared" si="29"/>
        <v>-2.1049895999999998E-2</v>
      </c>
    </row>
    <row r="60" spans="1:13">
      <c r="A60" s="20"/>
    </row>
    <row r="61" spans="1:13">
      <c r="A61" s="20"/>
      <c r="C61" t="s">
        <v>22</v>
      </c>
      <c r="D61">
        <f t="shared" ref="D61" si="30">AVERAGE(D57,E58,F59)</f>
        <v>261.49709999999999</v>
      </c>
    </row>
    <row r="62" spans="1:13">
      <c r="A62" s="20"/>
    </row>
    <row r="63" spans="1:13">
      <c r="A63" s="20"/>
      <c r="C63" t="s">
        <v>23</v>
      </c>
      <c r="D63">
        <f t="shared" si="11"/>
        <v>0</v>
      </c>
      <c r="E63">
        <f t="shared" si="12"/>
        <v>-0.99255000000000004</v>
      </c>
      <c r="F63">
        <f t="shared" ref="F63" si="31">(F57-D59)/2</f>
        <v>-3.2245499999999998</v>
      </c>
    </row>
    <row r="64" spans="1:13">
      <c r="A64" s="20"/>
      <c r="E64">
        <f t="shared" si="21"/>
        <v>0</v>
      </c>
      <c r="F64">
        <f t="shared" si="22"/>
        <v>0.17715000000000014</v>
      </c>
    </row>
    <row r="65" spans="1:13">
      <c r="A65" s="20"/>
      <c r="F65">
        <f t="shared" si="23"/>
        <v>0</v>
      </c>
    </row>
    <row r="66" spans="1:13">
      <c r="A66" s="20" t="s">
        <v>19</v>
      </c>
      <c r="B66">
        <v>-1E-3</v>
      </c>
      <c r="D66" t="s">
        <v>18</v>
      </c>
      <c r="E66" t="s">
        <v>19</v>
      </c>
      <c r="F66" t="s">
        <v>20</v>
      </c>
      <c r="I66" t="s">
        <v>18</v>
      </c>
      <c r="J66" t="s">
        <v>19</v>
      </c>
      <c r="K66" t="s">
        <v>20</v>
      </c>
    </row>
    <row r="67" spans="1:13" ht="15">
      <c r="A67" s="20"/>
      <c r="D67" s="6">
        <v>259.17</v>
      </c>
      <c r="E67" s="4">
        <v>-9.6111000000000004</v>
      </c>
      <c r="F67" s="6">
        <v>-4.5721999999999996</v>
      </c>
      <c r="G67" t="s">
        <v>18</v>
      </c>
      <c r="I67" s="6">
        <v>-1.54</v>
      </c>
      <c r="J67" s="6">
        <v>0.57410000000000005</v>
      </c>
      <c r="K67" s="6">
        <v>-2.3999999999999998E-3</v>
      </c>
      <c r="M67">
        <f t="shared" ref="M67" si="32">(D68-E67)*K69 + (E69-F68)*I69 + (F67-D69)*J69</f>
        <v>-1.24668239625216</v>
      </c>
    </row>
    <row r="68" spans="1:13" ht="15">
      <c r="A68" s="20"/>
      <c r="D68" s="3">
        <v>-6.7873999999999999</v>
      </c>
      <c r="E68" s="6">
        <v>262.40449999999998</v>
      </c>
      <c r="F68" s="4">
        <v>5.9478999999999997</v>
      </c>
      <c r="G68" t="s">
        <v>19</v>
      </c>
      <c r="I68" t="s">
        <v>21</v>
      </c>
    </row>
    <row r="69" spans="1:13" ht="15">
      <c r="A69" s="20"/>
      <c r="D69" s="6">
        <v>1.6806000000000001</v>
      </c>
      <c r="E69" s="6">
        <v>5.67</v>
      </c>
      <c r="F69" s="6">
        <v>261.95389999999998</v>
      </c>
      <c r="G69" t="s">
        <v>20</v>
      </c>
      <c r="I69">
        <f t="shared" ref="I69:K69" si="33">I67*$AG$5</f>
        <v>-0.60592223999999995</v>
      </c>
      <c r="J69">
        <f t="shared" si="33"/>
        <v>0.2258830896</v>
      </c>
      <c r="K69">
        <f t="shared" si="33"/>
        <v>-9.4429439999999985E-4</v>
      </c>
    </row>
    <row r="70" spans="1:13">
      <c r="A70" s="20"/>
    </row>
    <row r="71" spans="1:13">
      <c r="A71" s="20"/>
      <c r="C71" t="s">
        <v>22</v>
      </c>
      <c r="D71">
        <f t="shared" ref="D71" si="34">AVERAGE(D67,E68,F69)</f>
        <v>261.17613333333333</v>
      </c>
    </row>
    <row r="72" spans="1:13">
      <c r="A72" s="20"/>
    </row>
    <row r="73" spans="1:13">
      <c r="A73" s="20"/>
      <c r="C73" t="s">
        <v>23</v>
      </c>
      <c r="D73">
        <f t="shared" si="11"/>
        <v>0</v>
      </c>
      <c r="E73">
        <f t="shared" si="12"/>
        <v>-1.4118500000000003</v>
      </c>
      <c r="F73">
        <f t="shared" ref="F73" si="35">(F67-D69)/2</f>
        <v>-3.1263999999999998</v>
      </c>
    </row>
    <row r="74" spans="1:13">
      <c r="A74" s="20"/>
      <c r="E74">
        <f t="shared" si="21"/>
        <v>0</v>
      </c>
      <c r="F74">
        <f t="shared" si="22"/>
        <v>0.13894999999999991</v>
      </c>
    </row>
    <row r="75" spans="1:13">
      <c r="A75" s="20"/>
      <c r="F75">
        <f t="shared" si="23"/>
        <v>0</v>
      </c>
    </row>
    <row r="76" spans="1:13">
      <c r="A76" s="20" t="s">
        <v>19</v>
      </c>
      <c r="B76">
        <v>2E-3</v>
      </c>
      <c r="D76" t="s">
        <v>18</v>
      </c>
      <c r="E76" t="s">
        <v>19</v>
      </c>
      <c r="F76" t="s">
        <v>20</v>
      </c>
      <c r="I76" t="s">
        <v>18</v>
      </c>
      <c r="J76" t="s">
        <v>19</v>
      </c>
      <c r="K76" t="s">
        <v>20</v>
      </c>
    </row>
    <row r="77" spans="1:13" ht="15">
      <c r="A77" s="20"/>
      <c r="D77" s="6">
        <v>259.57619999999997</v>
      </c>
      <c r="E77" s="4">
        <v>-9.3462999999999994</v>
      </c>
      <c r="F77" s="6">
        <v>-5.4478</v>
      </c>
      <c r="G77" t="s">
        <v>18</v>
      </c>
      <c r="I77" s="6">
        <v>-1.5213000000000001</v>
      </c>
      <c r="J77" s="6">
        <v>0.2878</v>
      </c>
      <c r="K77" s="6">
        <v>-6.7199999999999996E-2</v>
      </c>
      <c r="M77">
        <f t="shared" ref="M77" si="36">(D78-E77)*K79 + (E79-F78)*I79 + (F77-D79)*J79</f>
        <v>-0.47963816550384014</v>
      </c>
    </row>
    <row r="78" spans="1:13" ht="15">
      <c r="A78" s="20"/>
      <c r="D78" s="3">
        <v>-7.6977000000000002</v>
      </c>
      <c r="E78" s="6">
        <v>263.18830000000003</v>
      </c>
      <c r="F78" s="4">
        <v>5.5968999999999998</v>
      </c>
      <c r="G78" t="s">
        <v>19</v>
      </c>
      <c r="I78" t="s">
        <v>21</v>
      </c>
    </row>
    <row r="79" spans="1:13" ht="15">
      <c r="A79" s="20"/>
      <c r="D79" s="6">
        <v>1.0708</v>
      </c>
      <c r="E79" s="6">
        <v>5.0922000000000001</v>
      </c>
      <c r="F79" s="6">
        <v>262.03899999999999</v>
      </c>
      <c r="G79" t="s">
        <v>20</v>
      </c>
      <c r="I79">
        <f t="shared" ref="I79:K79" si="37">I77*$AG$5</f>
        <v>-0.59856461279999995</v>
      </c>
      <c r="J79">
        <f t="shared" si="37"/>
        <v>0.1132366368</v>
      </c>
      <c r="K79">
        <f t="shared" si="37"/>
        <v>-2.6440243199999998E-2</v>
      </c>
    </row>
    <row r="80" spans="1:13">
      <c r="A80" s="20"/>
    </row>
    <row r="81" spans="1:13">
      <c r="A81" s="20"/>
      <c r="C81" t="s">
        <v>22</v>
      </c>
      <c r="D81">
        <f t="shared" ref="D81" si="38">AVERAGE(D77,E78,F79)</f>
        <v>261.60116666666664</v>
      </c>
    </row>
    <row r="82" spans="1:13">
      <c r="A82" s="20"/>
    </row>
    <row r="83" spans="1:13">
      <c r="A83" s="20"/>
      <c r="C83" t="s">
        <v>23</v>
      </c>
      <c r="D83">
        <f t="shared" si="11"/>
        <v>0</v>
      </c>
      <c r="E83">
        <f t="shared" si="12"/>
        <v>-0.82429999999999959</v>
      </c>
      <c r="F83">
        <f t="shared" ref="F83" si="39">(F77-D79)/2</f>
        <v>-3.2593000000000001</v>
      </c>
    </row>
    <row r="84" spans="1:13">
      <c r="A84" s="20"/>
      <c r="E84">
        <f t="shared" si="21"/>
        <v>0</v>
      </c>
      <c r="F84">
        <f t="shared" si="22"/>
        <v>0.25234999999999985</v>
      </c>
    </row>
    <row r="85" spans="1:13">
      <c r="A85" s="20"/>
      <c r="F85">
        <f t="shared" si="23"/>
        <v>0</v>
      </c>
    </row>
    <row r="86" spans="1:13">
      <c r="A86" s="20" t="s">
        <v>19</v>
      </c>
      <c r="B86">
        <v>-2E-3</v>
      </c>
      <c r="D86" t="s">
        <v>18</v>
      </c>
      <c r="E86" t="s">
        <v>19</v>
      </c>
      <c r="F86" t="s">
        <v>20</v>
      </c>
      <c r="I86" t="s">
        <v>18</v>
      </c>
      <c r="J86" t="s">
        <v>19</v>
      </c>
      <c r="K86" t="s">
        <v>20</v>
      </c>
    </row>
    <row r="87" spans="1:13" ht="15">
      <c r="D87" s="6">
        <v>258.88440000000003</v>
      </c>
      <c r="E87" s="4">
        <v>-9.766</v>
      </c>
      <c r="F87" s="6">
        <v>-3.9611000000000001</v>
      </c>
      <c r="G87" t="s">
        <v>18</v>
      </c>
      <c r="I87" s="6">
        <v>-1.5359</v>
      </c>
      <c r="J87" s="6">
        <v>0.68310000000000004</v>
      </c>
      <c r="K87" s="6">
        <v>5.1400000000000001E-2</v>
      </c>
      <c r="M87">
        <f t="shared" ref="M87" si="40">(D88-E87)*K89 + (E89-F88)*I89 + (F87-D89)*J89</f>
        <v>-1.2685551149812799</v>
      </c>
    </row>
    <row r="88" spans="1:13" ht="15">
      <c r="D88" s="3">
        <v>-6.3219000000000003</v>
      </c>
      <c r="E88" s="6">
        <v>262.18189999999998</v>
      </c>
      <c r="F88" s="4">
        <v>6.3216999999999999</v>
      </c>
      <c r="G88" t="s">
        <v>19</v>
      </c>
      <c r="I88" t="s">
        <v>21</v>
      </c>
    </row>
    <row r="89" spans="1:13" ht="15">
      <c r="D89" s="6">
        <v>2.1030000000000002</v>
      </c>
      <c r="E89" s="6">
        <v>5.8391000000000002</v>
      </c>
      <c r="F89" s="6">
        <v>261.75409999999999</v>
      </c>
      <c r="G89" t="s">
        <v>20</v>
      </c>
      <c r="I89">
        <f t="shared" ref="I89:K89" si="41">I87*$AG$5</f>
        <v>-0.60430907039999993</v>
      </c>
      <c r="J89">
        <f t="shared" si="41"/>
        <v>0.26876979359999997</v>
      </c>
      <c r="K89">
        <f t="shared" si="41"/>
        <v>2.0223638400000001E-2</v>
      </c>
    </row>
    <row r="91" spans="1:13">
      <c r="C91" t="s">
        <v>22</v>
      </c>
      <c r="D91">
        <f t="shared" ref="D91" si="42">AVERAGE(D87,E88,F89)</f>
        <v>260.94013333333334</v>
      </c>
    </row>
    <row r="93" spans="1:13">
      <c r="C93" t="s">
        <v>23</v>
      </c>
      <c r="D93">
        <f t="shared" si="11"/>
        <v>0</v>
      </c>
      <c r="E93">
        <f t="shared" si="12"/>
        <v>-1.7220499999999999</v>
      </c>
      <c r="F93">
        <f t="shared" ref="F93" si="43">(F87-D89)/2</f>
        <v>-3.0320499999999999</v>
      </c>
    </row>
    <row r="94" spans="1:13">
      <c r="E94">
        <f t="shared" si="21"/>
        <v>0</v>
      </c>
      <c r="F94">
        <f t="shared" si="22"/>
        <v>0.24129999999999985</v>
      </c>
    </row>
    <row r="95" spans="1:13">
      <c r="F95">
        <f t="shared" si="23"/>
        <v>0</v>
      </c>
    </row>
    <row r="97" spans="4:11" ht="15">
      <c r="D97" s="6"/>
      <c r="E97" s="4"/>
      <c r="F97" s="6"/>
      <c r="I97" s="6"/>
      <c r="J97" s="6"/>
      <c r="K97" s="6"/>
    </row>
    <row r="98" spans="4:11" ht="15">
      <c r="D98" s="3"/>
      <c r="E98" s="6"/>
      <c r="F98" s="4"/>
    </row>
    <row r="99" spans="4:11" ht="15">
      <c r="D99" s="6"/>
      <c r="E99" s="6"/>
      <c r="F99" s="6"/>
    </row>
    <row r="107" spans="4:11" ht="15">
      <c r="D107" s="6"/>
      <c r="E107" s="4"/>
      <c r="F107" s="6"/>
      <c r="I107" s="6"/>
      <c r="J107" s="6"/>
      <c r="K107" s="6"/>
    </row>
    <row r="108" spans="4:11" ht="15">
      <c r="D108" s="3"/>
      <c r="E108" s="6"/>
      <c r="F108" s="4"/>
    </row>
    <row r="109" spans="4:11" ht="15">
      <c r="D109" s="6"/>
      <c r="E109" s="6"/>
      <c r="F109" s="6"/>
    </row>
    <row r="117" spans="4:11" ht="15">
      <c r="D117" s="6"/>
      <c r="E117" s="4"/>
      <c r="F117" s="6"/>
      <c r="I117" s="6"/>
      <c r="J117" s="6"/>
      <c r="K117" s="6"/>
    </row>
    <row r="118" spans="4:11" ht="15">
      <c r="D118" s="3"/>
      <c r="E118" s="6"/>
      <c r="F118" s="4"/>
    </row>
    <row r="119" spans="4:11" ht="15">
      <c r="D119" s="6"/>
      <c r="E119" s="6"/>
      <c r="F119" s="6"/>
    </row>
    <row r="127" spans="4:11" ht="15">
      <c r="D127" s="6"/>
      <c r="E127" s="4"/>
      <c r="F127" s="6"/>
      <c r="I127" s="6"/>
      <c r="J127" s="6"/>
      <c r="K127" s="6"/>
    </row>
    <row r="128" spans="4:11" ht="15">
      <c r="D128" s="3"/>
      <c r="E128" s="6"/>
      <c r="F128" s="4"/>
    </row>
    <row r="129" spans="4:11" ht="15">
      <c r="D129" s="6"/>
      <c r="E129" s="6"/>
      <c r="F129" s="6"/>
    </row>
    <row r="137" spans="4:11" ht="15">
      <c r="D137" s="6"/>
      <c r="E137" s="4"/>
      <c r="F137" s="6"/>
      <c r="I137" s="6"/>
      <c r="J137" s="6"/>
      <c r="K137" s="6"/>
    </row>
    <row r="138" spans="4:11" ht="15">
      <c r="D138" s="3"/>
      <c r="E138" s="6"/>
      <c r="F138" s="4"/>
    </row>
    <row r="139" spans="4:11" ht="15">
      <c r="D139" s="6"/>
      <c r="E139" s="6"/>
      <c r="F139" s="6"/>
    </row>
    <row r="147" spans="4:11" ht="15">
      <c r="D147" s="6"/>
      <c r="E147" s="4"/>
      <c r="F147" s="6"/>
      <c r="I147" s="6"/>
      <c r="J147" s="6"/>
      <c r="K147" s="6"/>
    </row>
    <row r="148" spans="4:11" ht="15">
      <c r="D148" s="3"/>
      <c r="E148" s="6"/>
      <c r="F148" s="4"/>
    </row>
    <row r="149" spans="4:11" ht="15">
      <c r="D149" s="6"/>
      <c r="E149" s="6"/>
      <c r="F149" s="6"/>
    </row>
  </sheetData>
  <mergeCells count="1">
    <mergeCell ref="A4:B4"/>
  </mergeCells>
  <hyperlinks>
    <hyperlink ref="AF4" r:id="rId1" xr:uid="{E1A6851C-E2EF-4866-A710-2194F301FBD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C968-7537-49D7-88A3-F4EDC1C225CB}">
  <dimension ref="A1:AH90"/>
  <sheetViews>
    <sheetView topLeftCell="A60" workbookViewId="0">
      <selection activeCell="P73" sqref="P73"/>
    </sheetView>
  </sheetViews>
  <sheetFormatPr defaultColWidth="8.875" defaultRowHeight="14.25"/>
  <cols>
    <col min="1" max="1" width="15.125" customWidth="1"/>
    <col min="2" max="2" width="23" bestFit="1" customWidth="1"/>
    <col min="3" max="3" width="15.75" bestFit="1" customWidth="1"/>
    <col min="4" max="4" width="9.25" bestFit="1" customWidth="1"/>
    <col min="5" max="5" width="10.375" bestFit="1" customWidth="1"/>
    <col min="6" max="6" width="9.25" bestFit="1" customWidth="1"/>
    <col min="9" max="9" width="14.875" bestFit="1" customWidth="1"/>
    <col min="10" max="11" width="12.375" bestFit="1" customWidth="1"/>
    <col min="13" max="13" width="15.375" bestFit="1" customWidth="1"/>
    <col min="16" max="16" width="16.125" bestFit="1" customWidth="1"/>
    <col min="17" max="17" width="21.75" customWidth="1"/>
    <col min="18" max="18" width="19.375" customWidth="1"/>
    <col min="19" max="19" width="9.25" bestFit="1" customWidth="1"/>
    <col min="32" max="32" width="49" bestFit="1" customWidth="1"/>
  </cols>
  <sheetData>
    <row r="1" spans="1:32">
      <c r="AF1" t="s">
        <v>26</v>
      </c>
    </row>
    <row r="2" spans="1:32" ht="15">
      <c r="B2" s="10"/>
      <c r="C2" s="11" t="s">
        <v>1</v>
      </c>
      <c r="D2" s="12"/>
      <c r="E2" s="13" t="s">
        <v>2</v>
      </c>
      <c r="P2" s="10"/>
      <c r="Q2" t="s">
        <v>27</v>
      </c>
      <c r="R2" s="11" t="s">
        <v>28</v>
      </c>
      <c r="S2" s="13" t="s">
        <v>2</v>
      </c>
      <c r="AF2" s="2" t="s">
        <v>29</v>
      </c>
    </row>
    <row r="3" spans="1:32" ht="15">
      <c r="B3" s="10" t="s">
        <v>4</v>
      </c>
      <c r="C3" s="11" t="s">
        <v>1</v>
      </c>
      <c r="D3" s="12"/>
      <c r="E3" s="13" t="s">
        <v>2</v>
      </c>
      <c r="P3" s="10" t="s">
        <v>4</v>
      </c>
      <c r="Q3" t="s">
        <v>4</v>
      </c>
      <c r="R3" s="11" t="s">
        <v>5</v>
      </c>
      <c r="S3" s="13" t="s">
        <v>2</v>
      </c>
    </row>
    <row r="4" spans="1:32">
      <c r="A4" s="22" t="s">
        <v>6</v>
      </c>
      <c r="B4" s="22"/>
      <c r="C4" s="7" t="s">
        <v>7</v>
      </c>
      <c r="D4" s="7"/>
      <c r="E4" s="7"/>
      <c r="F4" s="7"/>
      <c r="G4" s="7"/>
      <c r="H4" s="7"/>
      <c r="I4" s="7" t="s">
        <v>8</v>
      </c>
      <c r="J4" s="7"/>
      <c r="K4" s="7"/>
      <c r="L4" s="7"/>
      <c r="M4" s="7" t="s">
        <v>9</v>
      </c>
      <c r="N4" s="7"/>
      <c r="P4" s="7" t="s">
        <v>6</v>
      </c>
      <c r="Q4" s="7" t="s">
        <v>7</v>
      </c>
      <c r="R4" s="7"/>
      <c r="S4" s="7"/>
      <c r="T4" s="7"/>
      <c r="U4" s="7"/>
      <c r="V4" s="7" t="s">
        <v>8</v>
      </c>
      <c r="W4" s="7"/>
      <c r="X4" s="7"/>
      <c r="Y4" s="7"/>
      <c r="Z4" s="7" t="s">
        <v>9</v>
      </c>
      <c r="AA4" s="7"/>
    </row>
    <row r="5" spans="1:32" ht="15">
      <c r="A5" s="7" t="s">
        <v>11</v>
      </c>
      <c r="B5" s="7" t="s">
        <v>30</v>
      </c>
      <c r="C5" s="8" t="s">
        <v>13</v>
      </c>
      <c r="D5" s="8"/>
      <c r="E5" s="9"/>
      <c r="F5" s="7"/>
      <c r="G5" s="7"/>
      <c r="H5" s="7"/>
      <c r="I5" s="7" t="s">
        <v>14</v>
      </c>
      <c r="J5" s="7"/>
      <c r="K5" s="7"/>
      <c r="L5" s="7"/>
      <c r="M5" s="7" t="s">
        <v>15</v>
      </c>
      <c r="N5" s="7"/>
      <c r="P5" s="8"/>
      <c r="Q5" s="8" t="s">
        <v>13</v>
      </c>
      <c r="R5" s="8"/>
      <c r="S5" s="9"/>
      <c r="T5" s="7"/>
      <c r="U5" s="7"/>
      <c r="V5" s="7" t="s">
        <v>14</v>
      </c>
      <c r="W5" s="7"/>
      <c r="X5" s="7"/>
      <c r="Y5" s="7"/>
      <c r="Z5" s="7" t="s">
        <v>15</v>
      </c>
      <c r="AA5" s="7"/>
    </row>
    <row r="6" spans="1:32">
      <c r="B6">
        <v>0</v>
      </c>
      <c r="D6" t="s">
        <v>18</v>
      </c>
      <c r="E6" t="s">
        <v>19</v>
      </c>
      <c r="F6" t="s">
        <v>20</v>
      </c>
      <c r="I6" t="s">
        <v>18</v>
      </c>
      <c r="J6" t="s">
        <v>19</v>
      </c>
      <c r="K6" t="s">
        <v>20</v>
      </c>
      <c r="P6">
        <v>0</v>
      </c>
      <c r="Q6" t="s">
        <v>18</v>
      </c>
      <c r="R6" t="s">
        <v>19</v>
      </c>
      <c r="S6" t="s">
        <v>20</v>
      </c>
      <c r="V6" t="s">
        <v>18</v>
      </c>
      <c r="W6" t="s">
        <v>19</v>
      </c>
      <c r="X6" t="s">
        <v>20</v>
      </c>
    </row>
    <row r="7" spans="1:32" ht="15">
      <c r="D7" s="1">
        <v>259.34820000000002</v>
      </c>
      <c r="E7">
        <v>9.5012000000000008</v>
      </c>
      <c r="F7">
        <v>4.9253</v>
      </c>
      <c r="G7" t="s">
        <v>18</v>
      </c>
      <c r="I7" s="1">
        <v>1.5362</v>
      </c>
      <c r="J7" s="6">
        <v>0.47599999999999998</v>
      </c>
      <c r="K7" s="6">
        <v>-3.09E-2</v>
      </c>
      <c r="M7">
        <f>(D8-E7)*K9 + (E9-F8)*I9 + (F7-D9)*J9</f>
        <v>1.0528333492152</v>
      </c>
      <c r="Q7">
        <v>291.911</v>
      </c>
      <c r="R7">
        <v>-1.1899</v>
      </c>
      <c r="S7">
        <v>0.99460000000000004</v>
      </c>
      <c r="T7" t="s">
        <v>18</v>
      </c>
      <c r="V7">
        <v>-0.27239999999999998</v>
      </c>
      <c r="W7">
        <v>0.68079999999999996</v>
      </c>
      <c r="X7">
        <v>1.5549999999999999</v>
      </c>
      <c r="Z7">
        <f>(Q8-R7)*X9 + (R9-S8)*V9 + (S7-Q9)*W9</f>
        <v>5.1474013007759982</v>
      </c>
    </row>
    <row r="8" spans="1:32" ht="15">
      <c r="D8" s="1">
        <v>7.1170999999999998</v>
      </c>
      <c r="E8">
        <v>262.6748</v>
      </c>
      <c r="F8">
        <v>5.7607999999999997</v>
      </c>
      <c r="G8" t="s">
        <v>19</v>
      </c>
      <c r="I8" t="s">
        <v>21</v>
      </c>
      <c r="Q8">
        <v>6.6917999999999997</v>
      </c>
      <c r="R8">
        <v>282.4162</v>
      </c>
      <c r="S8">
        <v>5.2301000000000002</v>
      </c>
      <c r="T8" t="s">
        <v>19</v>
      </c>
      <c r="V8" t="s">
        <v>21</v>
      </c>
    </row>
    <row r="9" spans="1:32" ht="15">
      <c r="D9" s="6">
        <v>-1.4360999999999999</v>
      </c>
      <c r="E9" s="6">
        <v>5.4836</v>
      </c>
      <c r="F9" s="6">
        <v>262.04680000000002</v>
      </c>
      <c r="G9" t="s">
        <v>20</v>
      </c>
      <c r="I9">
        <f>I7*$AG$17</f>
        <v>0.60442710719999992</v>
      </c>
      <c r="J9">
        <f>J7*$AG$17</f>
        <v>0.18728505599999998</v>
      </c>
      <c r="K9">
        <f>K7*$AG$17</f>
        <v>-1.21577904E-2</v>
      </c>
      <c r="Q9">
        <v>-3.7665999999999999</v>
      </c>
      <c r="R9">
        <v>14.095499999999999</v>
      </c>
      <c r="S9">
        <v>254.2912</v>
      </c>
      <c r="T9" t="s">
        <v>20</v>
      </c>
      <c r="V9">
        <f>V7*$AG$17</f>
        <v>-0.10717741439999998</v>
      </c>
      <c r="W9">
        <f t="shared" ref="W9:X9" si="0">W7*$AG$17</f>
        <v>0.26786484479999995</v>
      </c>
      <c r="X9">
        <f t="shared" si="0"/>
        <v>0.61182407999999988</v>
      </c>
    </row>
    <row r="11" spans="1:32">
      <c r="C11" t="s">
        <v>22</v>
      </c>
      <c r="D11">
        <f>AVERAGE(D7,E8,F9)</f>
        <v>261.35660000000001</v>
      </c>
    </row>
    <row r="12" spans="1:32">
      <c r="C12" t="s">
        <v>23</v>
      </c>
      <c r="D12">
        <f>D7-D7</f>
        <v>0</v>
      </c>
      <c r="E12">
        <f>(E7-D8)/2</f>
        <v>1.1920500000000005</v>
      </c>
      <c r="F12">
        <f>(F7-D9)/2</f>
        <v>3.1806999999999999</v>
      </c>
    </row>
    <row r="13" spans="1:32">
      <c r="E13">
        <f>E8-E8</f>
        <v>0</v>
      </c>
      <c r="F13">
        <f>(F8-E9)/2</f>
        <v>0.13859999999999983</v>
      </c>
    </row>
    <row r="14" spans="1:32">
      <c r="F14">
        <f>F9-F9</f>
        <v>0</v>
      </c>
    </row>
    <row r="15" spans="1:32">
      <c r="A15" t="s">
        <v>18</v>
      </c>
      <c r="B15">
        <v>1E-3</v>
      </c>
      <c r="D15" t="s">
        <v>18</v>
      </c>
      <c r="E15" t="s">
        <v>19</v>
      </c>
      <c r="F15" t="s">
        <v>20</v>
      </c>
      <c r="I15" t="s">
        <v>18</v>
      </c>
      <c r="J15" t="s">
        <v>19</v>
      </c>
      <c r="K15" t="s">
        <v>20</v>
      </c>
    </row>
    <row r="16" spans="1:32" ht="15">
      <c r="D16" s="1">
        <v>259.19940000000003</v>
      </c>
      <c r="E16">
        <v>9.4034999999999993</v>
      </c>
      <c r="F16">
        <v>4.6779000000000002</v>
      </c>
      <c r="G16" t="s">
        <v>18</v>
      </c>
      <c r="I16" s="1">
        <v>1.4272</v>
      </c>
      <c r="J16" s="6">
        <v>0.46960000000000002</v>
      </c>
      <c r="K16" s="6">
        <v>6.6E-3</v>
      </c>
      <c r="M16">
        <f t="shared" ref="M16" si="1">(D17-E16)*K18 + (E18-F17)*I18 + (F16-D18)*J18</f>
        <v>0.79498740111167998</v>
      </c>
      <c r="AF16" s="2" t="s">
        <v>10</v>
      </c>
    </row>
    <row r="17" spans="1:34" ht="15">
      <c r="D17" s="1">
        <v>6.9608999999999996</v>
      </c>
      <c r="E17">
        <v>262.67739999999998</v>
      </c>
      <c r="F17">
        <v>6.1897000000000002</v>
      </c>
      <c r="G17" t="s">
        <v>19</v>
      </c>
      <c r="I17" t="s">
        <v>21</v>
      </c>
      <c r="AF17" t="s">
        <v>16</v>
      </c>
      <c r="AG17" s="5">
        <v>0.39345599999999997</v>
      </c>
      <c r="AH17" t="s">
        <v>17</v>
      </c>
    </row>
    <row r="18" spans="1:34" ht="15">
      <c r="D18" s="6">
        <v>-1.6929000000000001</v>
      </c>
      <c r="E18" s="6">
        <v>5.5205000000000002</v>
      </c>
      <c r="F18" s="6">
        <v>261.87569999999999</v>
      </c>
      <c r="G18" t="s">
        <v>20</v>
      </c>
      <c r="I18">
        <f t="shared" ref="I18:K18" si="2">I16*$AG$17</f>
        <v>0.56154040319999998</v>
      </c>
      <c r="J18">
        <f t="shared" si="2"/>
        <v>0.18476693759999999</v>
      </c>
      <c r="K18">
        <f t="shared" si="2"/>
        <v>2.5968095999999996E-3</v>
      </c>
    </row>
    <row r="20" spans="1:34">
      <c r="C20" t="s">
        <v>22</v>
      </c>
      <c r="D20">
        <f t="shared" ref="D20" si="3">AVERAGE(D16,E17,F18)</f>
        <v>261.25083333333333</v>
      </c>
    </row>
    <row r="21" spans="1:34">
      <c r="C21" t="s">
        <v>23</v>
      </c>
      <c r="D21">
        <f t="shared" ref="D21" si="4">D16-D16</f>
        <v>0</v>
      </c>
      <c r="E21">
        <f t="shared" ref="E21" si="5">(E16-D17)/2</f>
        <v>1.2212999999999998</v>
      </c>
      <c r="F21">
        <f t="shared" ref="F21" si="6">(F16-D18)/2</f>
        <v>3.1854</v>
      </c>
    </row>
    <row r="22" spans="1:34">
      <c r="E22">
        <f t="shared" ref="E22" si="7">E17-E17</f>
        <v>0</v>
      </c>
      <c r="F22">
        <f t="shared" ref="F22" si="8">(F17-E18)/2</f>
        <v>0.33460000000000001</v>
      </c>
    </row>
    <row r="23" spans="1:34">
      <c r="F23">
        <f t="shared" ref="F23" si="9">F18-F18</f>
        <v>0</v>
      </c>
    </row>
    <row r="24" spans="1:34">
      <c r="A24" t="s">
        <v>18</v>
      </c>
      <c r="B24">
        <v>-1E-3</v>
      </c>
      <c r="D24" t="s">
        <v>18</v>
      </c>
      <c r="E24" t="s">
        <v>19</v>
      </c>
      <c r="F24" t="s">
        <v>20</v>
      </c>
      <c r="I24" t="s">
        <v>18</v>
      </c>
      <c r="J24" t="s">
        <v>19</v>
      </c>
      <c r="K24" t="s">
        <v>20</v>
      </c>
    </row>
    <row r="25" spans="1:34" ht="15">
      <c r="D25" s="1">
        <v>259.50839999999999</v>
      </c>
      <c r="E25">
        <v>9.6231000000000009</v>
      </c>
      <c r="F25">
        <v>5.1719999999999997</v>
      </c>
      <c r="G25" t="s">
        <v>18</v>
      </c>
      <c r="I25" s="1">
        <v>1.6463000000000001</v>
      </c>
      <c r="J25" s="6">
        <v>0.48349999999999999</v>
      </c>
      <c r="K25" s="6">
        <v>-7.0300000000000001E-2</v>
      </c>
      <c r="M25">
        <f t="shared" ref="M25" si="10">(D26-E25)*K27 + (E27-F26)*I27 + (F25-D27)*J27</f>
        <v>1.3601896560235205</v>
      </c>
    </row>
    <row r="26" spans="1:34" ht="15">
      <c r="D26" s="1">
        <v>7.2988999999999997</v>
      </c>
      <c r="E26">
        <v>262.71839999999997</v>
      </c>
      <c r="F26">
        <v>5.2889999999999997</v>
      </c>
      <c r="G26" t="s">
        <v>19</v>
      </c>
      <c r="I26" t="s">
        <v>21</v>
      </c>
    </row>
    <row r="27" spans="1:34" ht="15">
      <c r="D27" s="6">
        <v>-1.161</v>
      </c>
      <c r="E27" s="6">
        <v>5.4297000000000004</v>
      </c>
      <c r="F27" s="6">
        <v>262.18900000000002</v>
      </c>
      <c r="G27" t="s">
        <v>20</v>
      </c>
      <c r="I27">
        <f t="shared" ref="I27:K27" si="11">I25*$AG$17</f>
        <v>0.64774661280000001</v>
      </c>
      <c r="J27">
        <f t="shared" si="11"/>
        <v>0.19023597599999997</v>
      </c>
      <c r="K27">
        <f t="shared" si="11"/>
        <v>-2.76599568E-2</v>
      </c>
    </row>
    <row r="29" spans="1:34">
      <c r="C29" t="s">
        <v>22</v>
      </c>
      <c r="D29">
        <f t="shared" ref="D29" si="12">AVERAGE(D25,E26,F27)</f>
        <v>261.47193333333331</v>
      </c>
    </row>
    <row r="30" spans="1:34">
      <c r="C30" t="s">
        <v>23</v>
      </c>
      <c r="D30">
        <f t="shared" ref="D30" si="13">D25-D25</f>
        <v>0</v>
      </c>
      <c r="E30">
        <f t="shared" ref="E30" si="14">(E25-D26)/2</f>
        <v>1.1621000000000006</v>
      </c>
      <c r="F30">
        <f t="shared" ref="F30" si="15">(F25-D27)/2</f>
        <v>3.1665000000000001</v>
      </c>
    </row>
    <row r="31" spans="1:34">
      <c r="E31">
        <f t="shared" ref="E31" si="16">E26-E26</f>
        <v>0</v>
      </c>
      <c r="F31">
        <f t="shared" ref="F31" si="17">(F26-E27)/2</f>
        <v>-7.0350000000000357E-2</v>
      </c>
    </row>
    <row r="32" spans="1:34">
      <c r="F32">
        <f t="shared" ref="F32" si="18">F27-F27</f>
        <v>0</v>
      </c>
    </row>
    <row r="33" spans="1:13">
      <c r="A33" t="s">
        <v>18</v>
      </c>
      <c r="B33">
        <v>2E-3</v>
      </c>
      <c r="D33" t="s">
        <v>18</v>
      </c>
      <c r="E33" t="s">
        <v>19</v>
      </c>
      <c r="F33" t="s">
        <v>20</v>
      </c>
      <c r="I33" t="s">
        <v>18</v>
      </c>
      <c r="J33" t="s">
        <v>19</v>
      </c>
      <c r="K33" t="s">
        <v>20</v>
      </c>
    </row>
    <row r="34" spans="1:13" ht="15">
      <c r="D34" s="1">
        <v>259.03359999999998</v>
      </c>
      <c r="E34">
        <v>9.3097999999999992</v>
      </c>
      <c r="F34">
        <v>4.3871000000000002</v>
      </c>
      <c r="G34" t="s">
        <v>18</v>
      </c>
      <c r="I34" s="1">
        <v>1.3172999999999999</v>
      </c>
      <c r="J34" s="6">
        <v>0.46629999999999999</v>
      </c>
      <c r="K34" s="6">
        <v>4.7300000000000002E-2</v>
      </c>
      <c r="M34">
        <f t="shared" ref="M34" si="19">(D35-E34)*K36 + (E36-F35)*I36 + (F34-D36)*J36</f>
        <v>0.57491107680384046</v>
      </c>
    </row>
    <row r="35" spans="1:13" ht="15">
      <c r="D35" s="1">
        <v>6.7823000000000002</v>
      </c>
      <c r="E35">
        <v>262.72730000000001</v>
      </c>
      <c r="F35">
        <v>6.6022999999999996</v>
      </c>
      <c r="G35" t="s">
        <v>19</v>
      </c>
      <c r="I35" t="s">
        <v>21</v>
      </c>
    </row>
    <row r="36" spans="1:13" ht="15">
      <c r="D36" s="6">
        <v>-1.9708000000000001</v>
      </c>
      <c r="E36" s="6">
        <v>5.5517000000000003</v>
      </c>
      <c r="F36" s="6">
        <v>261.678</v>
      </c>
      <c r="G36" t="s">
        <v>20</v>
      </c>
      <c r="I36">
        <f>I34*$AG$17</f>
        <v>0.51829958879999993</v>
      </c>
      <c r="J36">
        <f t="shared" ref="J36:K36" si="20">J34*$AG$17</f>
        <v>0.18346853279999997</v>
      </c>
      <c r="K36">
        <f t="shared" si="20"/>
        <v>1.8610468799999998E-2</v>
      </c>
    </row>
    <row r="38" spans="1:13">
      <c r="C38" t="s">
        <v>22</v>
      </c>
      <c r="D38">
        <f t="shared" ref="D38" si="21">AVERAGE(D34,E35,F36)</f>
        <v>261.1463</v>
      </c>
    </row>
    <row r="39" spans="1:13">
      <c r="C39" t="s">
        <v>23</v>
      </c>
      <c r="D39">
        <f t="shared" ref="D39" si="22">D34-D34</f>
        <v>0</v>
      </c>
      <c r="E39">
        <f t="shared" ref="E39" si="23">(E34-D35)/2</f>
        <v>1.2637499999999995</v>
      </c>
      <c r="F39">
        <f t="shared" ref="F39" si="24">(F34-D36)/2</f>
        <v>3.1789500000000004</v>
      </c>
    </row>
    <row r="40" spans="1:13">
      <c r="E40">
        <f t="shared" ref="E40" si="25">E35-E35</f>
        <v>0</v>
      </c>
      <c r="F40">
        <f t="shared" ref="F40" si="26">(F35-E36)/2</f>
        <v>0.52529999999999966</v>
      </c>
    </row>
    <row r="41" spans="1:13">
      <c r="F41">
        <f t="shared" ref="F41" si="27">F36-F36</f>
        <v>0</v>
      </c>
    </row>
    <row r="42" spans="1:13">
      <c r="A42" t="s">
        <v>18</v>
      </c>
      <c r="B42">
        <v>-2E-3</v>
      </c>
      <c r="D42" t="s">
        <v>18</v>
      </c>
      <c r="E42" t="s">
        <v>19</v>
      </c>
      <c r="F42" t="s">
        <v>20</v>
      </c>
      <c r="I42" t="s">
        <v>18</v>
      </c>
      <c r="J42" t="s">
        <v>19</v>
      </c>
      <c r="K42" t="s">
        <v>20</v>
      </c>
    </row>
    <row r="43" spans="1:13" ht="15">
      <c r="D43" s="1">
        <v>259.67099999999999</v>
      </c>
      <c r="E43">
        <v>9.7716999999999992</v>
      </c>
      <c r="F43">
        <v>5.3983999999999996</v>
      </c>
      <c r="G43" t="s">
        <v>18</v>
      </c>
      <c r="I43" s="1">
        <v>1.7568999999999999</v>
      </c>
      <c r="J43" s="6">
        <v>0.49280000000000002</v>
      </c>
      <c r="K43" s="6">
        <v>-0.10879999999999999</v>
      </c>
      <c r="M43">
        <f t="shared" ref="M43" si="28">(D44-E43)*K45 + (E45-F44)*I45 + (F43-D45)*J45</f>
        <v>1.7145569749224003</v>
      </c>
    </row>
    <row r="44" spans="1:13" ht="15">
      <c r="D44" s="1">
        <v>7.4819000000000004</v>
      </c>
      <c r="E44">
        <v>262.81060000000002</v>
      </c>
      <c r="F44">
        <v>4.7950999999999997</v>
      </c>
      <c r="G44" t="s">
        <v>19</v>
      </c>
      <c r="I44" t="s">
        <v>21</v>
      </c>
    </row>
    <row r="45" spans="1:13" ht="15">
      <c r="D45" s="6">
        <v>-0.88560000000000005</v>
      </c>
      <c r="E45" s="6">
        <v>5.3710000000000004</v>
      </c>
      <c r="F45" s="6">
        <v>262.30939999999998</v>
      </c>
      <c r="G45" t="s">
        <v>20</v>
      </c>
      <c r="I45">
        <f t="shared" ref="I45:K45" si="29">I43*$AG$17</f>
        <v>0.69126284639999991</v>
      </c>
      <c r="J45">
        <f t="shared" si="29"/>
        <v>0.19389511679999999</v>
      </c>
      <c r="K45">
        <f t="shared" si="29"/>
        <v>-4.2808012799999996E-2</v>
      </c>
    </row>
    <row r="47" spans="1:13">
      <c r="C47" t="s">
        <v>22</v>
      </c>
      <c r="D47">
        <f t="shared" ref="D47" si="30">AVERAGE(D43,E44,F45)</f>
        <v>261.59700000000004</v>
      </c>
    </row>
    <row r="48" spans="1:13">
      <c r="C48" t="s">
        <v>23</v>
      </c>
      <c r="D48">
        <f t="shared" ref="D48" si="31">D43-D43</f>
        <v>0</v>
      </c>
      <c r="E48">
        <f t="shared" ref="E48" si="32">(E43-D44)/2</f>
        <v>1.1448999999999994</v>
      </c>
      <c r="F48">
        <f t="shared" ref="F48" si="33">(F43-D45)/2</f>
        <v>3.1419999999999999</v>
      </c>
    </row>
    <row r="49" spans="1:13">
      <c r="E49">
        <f t="shared" ref="E49" si="34">E44-E44</f>
        <v>0</v>
      </c>
      <c r="F49">
        <f t="shared" ref="F49" si="35">(F44-E45)/2</f>
        <v>-0.28795000000000037</v>
      </c>
    </row>
    <row r="50" spans="1:13">
      <c r="F50">
        <f t="shared" ref="F50" si="36">F45-F45</f>
        <v>0</v>
      </c>
    </row>
    <row r="51" spans="1:13">
      <c r="A51" t="s">
        <v>19</v>
      </c>
      <c r="B51">
        <v>1E-3</v>
      </c>
      <c r="D51" t="s">
        <v>18</v>
      </c>
      <c r="E51" t="s">
        <v>19</v>
      </c>
      <c r="F51" t="s">
        <v>20</v>
      </c>
      <c r="I51" t="s">
        <v>18</v>
      </c>
      <c r="J51" t="s">
        <v>19</v>
      </c>
      <c r="K51" t="s">
        <v>20</v>
      </c>
    </row>
    <row r="52" spans="1:13" ht="15">
      <c r="D52" s="1">
        <v>259.4828</v>
      </c>
      <c r="E52">
        <v>9.4288000000000007</v>
      </c>
      <c r="F52">
        <v>5.2168999999999999</v>
      </c>
      <c r="G52" t="s">
        <v>18</v>
      </c>
      <c r="I52" s="1">
        <v>1.5308999999999999</v>
      </c>
      <c r="J52" s="6">
        <v>0.38150000000000001</v>
      </c>
      <c r="K52" s="6">
        <v>-5.28E-2</v>
      </c>
      <c r="M52">
        <f t="shared" ref="M52" si="37">(D53-E52)*K54 + (E54-F53)*I54 + (F52-D54)*J54</f>
        <v>0.80166532520256006</v>
      </c>
    </row>
    <row r="53" spans="1:13" ht="15">
      <c r="D53" s="1">
        <v>7.4283000000000001</v>
      </c>
      <c r="E53">
        <v>262.93349999999998</v>
      </c>
      <c r="F53">
        <v>5.6280000000000001</v>
      </c>
      <c r="G53" t="s">
        <v>19</v>
      </c>
      <c r="I53" t="s">
        <v>21</v>
      </c>
    </row>
    <row r="54" spans="1:13" ht="15">
      <c r="D54" s="6">
        <v>-1.2278</v>
      </c>
      <c r="E54" s="6">
        <v>5.2839</v>
      </c>
      <c r="F54" s="6">
        <v>262.05779999999999</v>
      </c>
      <c r="G54" t="s">
        <v>20</v>
      </c>
      <c r="I54">
        <f t="shared" ref="I54:K54" si="38">I52*$AG$17</f>
        <v>0.60234179039999991</v>
      </c>
      <c r="J54">
        <f t="shared" si="38"/>
        <v>0.15010346399999999</v>
      </c>
      <c r="K54">
        <f t="shared" si="38"/>
        <v>-2.0774476799999997E-2</v>
      </c>
    </row>
    <row r="56" spans="1:13">
      <c r="C56" t="s">
        <v>22</v>
      </c>
      <c r="D56">
        <f t="shared" ref="D56" si="39">AVERAGE(D52,E53,F54)</f>
        <v>261.49136666666664</v>
      </c>
    </row>
    <row r="57" spans="1:13">
      <c r="C57" t="s">
        <v>23</v>
      </c>
      <c r="D57">
        <f t="shared" ref="D57" si="40">D52-D52</f>
        <v>0</v>
      </c>
      <c r="E57">
        <f t="shared" ref="E57" si="41">(E52-D53)/2</f>
        <v>1.0002500000000003</v>
      </c>
      <c r="F57">
        <f t="shared" ref="F57" si="42">(F52-D54)/2</f>
        <v>3.22235</v>
      </c>
    </row>
    <row r="58" spans="1:13">
      <c r="E58">
        <f t="shared" ref="E58" si="43">E53-E53</f>
        <v>0</v>
      </c>
      <c r="F58">
        <f t="shared" ref="F58" si="44">(F53-E54)/2</f>
        <v>0.17205000000000004</v>
      </c>
    </row>
    <row r="59" spans="1:13">
      <c r="F59">
        <f t="shared" ref="F59" si="45">F54-F54</f>
        <v>0</v>
      </c>
    </row>
    <row r="60" spans="1:13">
      <c r="A60" t="s">
        <v>19</v>
      </c>
      <c r="B60">
        <v>-1E-3</v>
      </c>
      <c r="D60" t="s">
        <v>18</v>
      </c>
      <c r="E60" t="s">
        <v>19</v>
      </c>
      <c r="F60" t="s">
        <v>20</v>
      </c>
      <c r="I60" t="s">
        <v>18</v>
      </c>
      <c r="J60" t="s">
        <v>19</v>
      </c>
      <c r="K60" t="s">
        <v>20</v>
      </c>
    </row>
    <row r="61" spans="1:13" ht="15">
      <c r="D61" s="1">
        <v>259.17450000000002</v>
      </c>
      <c r="E61">
        <v>9.6028000000000002</v>
      </c>
      <c r="F61">
        <v>4.5713999999999997</v>
      </c>
      <c r="G61" t="s">
        <v>18</v>
      </c>
      <c r="I61" s="1">
        <v>1.5402</v>
      </c>
      <c r="J61" s="6">
        <v>0.57430000000000003</v>
      </c>
      <c r="K61" s="6">
        <v>-2.5000000000000001E-3</v>
      </c>
      <c r="M61">
        <f>(D62-E61)*K63 + (E63-F62)*I63 + (F61-D63)*J63</f>
        <v>1.2479207203209599</v>
      </c>
    </row>
    <row r="62" spans="1:13" ht="15">
      <c r="D62" s="1">
        <v>6.7815000000000003</v>
      </c>
      <c r="E62">
        <v>262.41460000000001</v>
      </c>
      <c r="F62">
        <v>5.9455999999999998</v>
      </c>
      <c r="G62" t="s">
        <v>19</v>
      </c>
      <c r="I62" t="s">
        <v>21</v>
      </c>
    </row>
    <row r="63" spans="1:13" ht="15">
      <c r="D63" s="6">
        <v>-1.6811</v>
      </c>
      <c r="E63" s="6">
        <v>5.6688999999999998</v>
      </c>
      <c r="F63" s="6">
        <v>261.96280000000002</v>
      </c>
      <c r="G63" t="s">
        <v>20</v>
      </c>
      <c r="I63">
        <f t="shared" ref="I63:K63" si="46">I61*$AG$17</f>
        <v>0.60600093119999998</v>
      </c>
      <c r="J63">
        <f t="shared" si="46"/>
        <v>0.22596178079999998</v>
      </c>
      <c r="K63">
        <f t="shared" si="46"/>
        <v>-9.8364000000000004E-4</v>
      </c>
    </row>
    <row r="65" spans="1:13">
      <c r="C65" t="s">
        <v>22</v>
      </c>
      <c r="D65">
        <f t="shared" ref="D65" si="47">AVERAGE(D61,E62,F63)</f>
        <v>261.18396666666666</v>
      </c>
    </row>
    <row r="66" spans="1:13">
      <c r="C66" t="s">
        <v>23</v>
      </c>
      <c r="D66">
        <f t="shared" ref="D66" si="48">D61-D61</f>
        <v>0</v>
      </c>
      <c r="E66">
        <f t="shared" ref="E66" si="49">(E61-D62)/2</f>
        <v>1.41065</v>
      </c>
      <c r="F66">
        <f t="shared" ref="F66" si="50">(F61-D63)/2</f>
        <v>3.1262499999999998</v>
      </c>
    </row>
    <row r="67" spans="1:13">
      <c r="E67">
        <f t="shared" ref="E67" si="51">E62-E62</f>
        <v>0</v>
      </c>
      <c r="F67">
        <f t="shared" ref="F67" si="52">(F62-E63)/2</f>
        <v>0.13834999999999997</v>
      </c>
    </row>
    <row r="68" spans="1:13">
      <c r="F68">
        <f t="shared" ref="F68" si="53">F63-F63</f>
        <v>0</v>
      </c>
    </row>
    <row r="69" spans="1:13">
      <c r="A69" t="s">
        <v>19</v>
      </c>
      <c r="B69">
        <v>2E-3</v>
      </c>
      <c r="D69" t="s">
        <v>18</v>
      </c>
      <c r="E69" t="s">
        <v>19</v>
      </c>
      <c r="F69" t="s">
        <v>20</v>
      </c>
      <c r="I69" t="s">
        <v>18</v>
      </c>
      <c r="J69" t="s">
        <v>19</v>
      </c>
      <c r="K69" t="s">
        <v>20</v>
      </c>
    </row>
    <row r="70" spans="1:13" ht="15">
      <c r="D70" s="1">
        <v>259.58109999999999</v>
      </c>
      <c r="E70">
        <v>9.3422000000000001</v>
      </c>
      <c r="F70">
        <v>5.4387999999999996</v>
      </c>
      <c r="G70" t="s">
        <v>18</v>
      </c>
      <c r="I70" s="1">
        <v>1.5205</v>
      </c>
      <c r="J70" s="6">
        <v>0.2878</v>
      </c>
      <c r="K70" s="6">
        <v>-6.6400000000000001E-2</v>
      </c>
      <c r="M70">
        <f>(D71-E70)*K72 + (E72-F71)*I72 + (F70-D72)*J72</f>
        <v>0.47790298126368014</v>
      </c>
    </row>
    <row r="71" spans="1:13" ht="15">
      <c r="D71" s="1">
        <v>7.6901000000000002</v>
      </c>
      <c r="E71">
        <v>263.19810000000001</v>
      </c>
      <c r="F71">
        <v>5.6017999999999999</v>
      </c>
      <c r="G71" t="s">
        <v>19</v>
      </c>
      <c r="I71" t="s">
        <v>21</v>
      </c>
    </row>
    <row r="72" spans="1:13" ht="15">
      <c r="D72" s="6">
        <v>-1.079</v>
      </c>
      <c r="E72" s="6">
        <v>5.0948000000000002</v>
      </c>
      <c r="F72" s="6">
        <v>262.06349999999998</v>
      </c>
      <c r="G72" t="s">
        <v>20</v>
      </c>
      <c r="I72">
        <f t="shared" ref="I72:K72" si="54">I70*$AG$17</f>
        <v>0.59824984799999992</v>
      </c>
      <c r="J72">
        <f t="shared" si="54"/>
        <v>0.1132366368</v>
      </c>
      <c r="K72">
        <f t="shared" si="54"/>
        <v>-2.6125478399999999E-2</v>
      </c>
    </row>
    <row r="74" spans="1:13">
      <c r="C74" t="s">
        <v>22</v>
      </c>
      <c r="D74">
        <f t="shared" ref="D74" si="55">AVERAGE(D70,E71,F72)</f>
        <v>261.61423333333329</v>
      </c>
    </row>
    <row r="75" spans="1:13">
      <c r="C75" t="s">
        <v>23</v>
      </c>
      <c r="D75">
        <f t="shared" ref="D75" si="56">D70-D70</f>
        <v>0</v>
      </c>
      <c r="E75">
        <f t="shared" ref="E75" si="57">(E70-D71)/2</f>
        <v>0.82604999999999995</v>
      </c>
      <c r="F75">
        <f t="shared" ref="F75" si="58">(F70-D72)/2</f>
        <v>3.2588999999999997</v>
      </c>
    </row>
    <row r="76" spans="1:13">
      <c r="E76">
        <f t="shared" ref="E76" si="59">E71-E71</f>
        <v>0</v>
      </c>
      <c r="F76">
        <f t="shared" ref="F76" si="60">(F71-E72)/2</f>
        <v>0.25349999999999984</v>
      </c>
    </row>
    <row r="77" spans="1:13">
      <c r="F77">
        <f t="shared" ref="F77" si="61">F72-F72</f>
        <v>0</v>
      </c>
    </row>
    <row r="78" spans="1:13">
      <c r="D78" t="s">
        <v>18</v>
      </c>
      <c r="E78" t="s">
        <v>19</v>
      </c>
      <c r="F78" t="s">
        <v>20</v>
      </c>
      <c r="I78" t="s">
        <v>18</v>
      </c>
      <c r="J78" t="s">
        <v>19</v>
      </c>
      <c r="K78" t="s">
        <v>20</v>
      </c>
    </row>
    <row r="79" spans="1:13" ht="15">
      <c r="A79" t="s">
        <v>19</v>
      </c>
      <c r="B79">
        <v>-2E-3</v>
      </c>
      <c r="D79" s="1">
        <v>258.88440000000003</v>
      </c>
      <c r="E79">
        <v>9.7771000000000008</v>
      </c>
      <c r="F79">
        <v>3.9380000000000002</v>
      </c>
      <c r="G79" t="s">
        <v>18</v>
      </c>
      <c r="I79" s="1">
        <v>1.5355000000000001</v>
      </c>
      <c r="J79" s="6">
        <v>0.68340000000000001</v>
      </c>
      <c r="K79" s="6">
        <v>5.2200000000000003E-2</v>
      </c>
      <c r="M79">
        <f>(D80-E79)*K81 + (E81-F80)*I81 + (F79-D81)*J81</f>
        <v>1.26397138405776</v>
      </c>
    </row>
    <row r="80" spans="1:13" ht="15">
      <c r="D80" s="1">
        <v>6.3251999999999997</v>
      </c>
      <c r="E80">
        <v>262.17250000000001</v>
      </c>
      <c r="F80">
        <v>6.3220999999999998</v>
      </c>
      <c r="G80" t="s">
        <v>19</v>
      </c>
      <c r="I80" t="s">
        <v>21</v>
      </c>
    </row>
    <row r="81" spans="3:11" ht="15">
      <c r="D81" s="6">
        <v>-2.1185999999999998</v>
      </c>
      <c r="E81" s="6">
        <v>5.8360000000000003</v>
      </c>
      <c r="F81" s="6">
        <v>261.7321</v>
      </c>
      <c r="G81" t="s">
        <v>20</v>
      </c>
      <c r="I81">
        <f t="shared" ref="I81:K81" si="62">I79*$AG$17</f>
        <v>0.60415168799999996</v>
      </c>
      <c r="J81">
        <f t="shared" si="62"/>
        <v>0.26888783039999997</v>
      </c>
      <c r="K81">
        <f t="shared" si="62"/>
        <v>2.0538403199999999E-2</v>
      </c>
    </row>
    <row r="83" spans="3:11">
      <c r="C83" t="s">
        <v>22</v>
      </c>
      <c r="D83">
        <f t="shared" ref="D83" si="63">AVERAGE(D79,E80,F81)</f>
        <v>260.92966666666666</v>
      </c>
    </row>
    <row r="84" spans="3:11">
      <c r="C84" t="s">
        <v>23</v>
      </c>
      <c r="D84">
        <f t="shared" ref="D84" si="64">D79-D79</f>
        <v>0</v>
      </c>
      <c r="E84">
        <f t="shared" ref="E84" si="65">(E79-D80)/2</f>
        <v>1.7259500000000005</v>
      </c>
      <c r="F84">
        <f t="shared" ref="F84" si="66">(F79-D81)/2</f>
        <v>3.0282999999999998</v>
      </c>
    </row>
    <row r="85" spans="3:11">
      <c r="E85">
        <f t="shared" ref="E85" si="67">E80-E80</f>
        <v>0</v>
      </c>
      <c r="F85">
        <f t="shared" ref="F85" si="68">(F80-E81)/2</f>
        <v>0.24304999999999977</v>
      </c>
    </row>
    <row r="86" spans="3:11">
      <c r="F86">
        <f t="shared" ref="F86" si="69">F81-F81</f>
        <v>0</v>
      </c>
    </row>
    <row r="88" spans="3:11" ht="15">
      <c r="D88" s="1"/>
      <c r="I88" s="1"/>
      <c r="J88" s="6"/>
      <c r="K88" s="6"/>
    </row>
    <row r="89" spans="3:11" ht="15">
      <c r="D89" s="1"/>
    </row>
    <row r="90" spans="3:11" ht="15">
      <c r="D90" s="6"/>
      <c r="E90" s="6"/>
      <c r="F90" s="6"/>
    </row>
  </sheetData>
  <mergeCells count="1">
    <mergeCell ref="A4:B4"/>
  </mergeCells>
  <hyperlinks>
    <hyperlink ref="AF2" r:id="rId1" xr:uid="{C75CF6C8-E29F-4F97-89A0-B1772C76203C}"/>
    <hyperlink ref="AF16" r:id="rId2" xr:uid="{20672D80-C4E2-4594-9725-4E2D279C4663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21C0-49A9-4F68-9425-8589AB9AF815}">
  <dimension ref="A1:AF71"/>
  <sheetViews>
    <sheetView topLeftCell="A36" workbookViewId="0">
      <selection activeCell="M66" sqref="M66"/>
    </sheetView>
  </sheetViews>
  <sheetFormatPr defaultColWidth="8.875" defaultRowHeight="14.25"/>
  <cols>
    <col min="3" max="3" width="14.125" customWidth="1"/>
    <col min="4" max="6" width="9.25" bestFit="1" customWidth="1"/>
    <col min="18" max="19" width="9.25" bestFit="1" customWidth="1"/>
  </cols>
  <sheetData>
    <row r="1" spans="1:32" ht="15">
      <c r="AD1" t="s">
        <v>16</v>
      </c>
      <c r="AE1" s="5">
        <v>0.39345599999999997</v>
      </c>
      <c r="AF1" t="s">
        <v>17</v>
      </c>
    </row>
    <row r="2" spans="1:32" ht="15">
      <c r="B2" s="10" t="s">
        <v>0</v>
      </c>
      <c r="C2" s="10"/>
      <c r="D2" s="11" t="s">
        <v>1</v>
      </c>
      <c r="E2" s="12"/>
      <c r="F2" s="13" t="s">
        <v>2</v>
      </c>
      <c r="P2" s="10" t="s">
        <v>0</v>
      </c>
      <c r="Q2" s="11" t="s">
        <v>31</v>
      </c>
      <c r="R2" s="12"/>
      <c r="S2" s="13" t="s">
        <v>2</v>
      </c>
    </row>
    <row r="3" spans="1:32" ht="15">
      <c r="B3" s="10" t="s">
        <v>4</v>
      </c>
      <c r="C3" s="10"/>
      <c r="D3" s="11" t="s">
        <v>1</v>
      </c>
      <c r="E3" s="12"/>
      <c r="F3" s="13" t="s">
        <v>2</v>
      </c>
      <c r="P3" s="10" t="s">
        <v>4</v>
      </c>
      <c r="Q3" s="11" t="s">
        <v>32</v>
      </c>
      <c r="R3" s="12"/>
      <c r="S3" s="13" t="s">
        <v>2</v>
      </c>
    </row>
    <row r="4" spans="1:32">
      <c r="A4" s="22" t="s">
        <v>6</v>
      </c>
      <c r="B4" s="22"/>
      <c r="C4" s="18"/>
      <c r="D4" s="7" t="s">
        <v>7</v>
      </c>
      <c r="E4" s="7"/>
      <c r="F4" s="7"/>
      <c r="G4" s="7"/>
      <c r="H4" s="7"/>
      <c r="I4" s="7" t="s">
        <v>8</v>
      </c>
      <c r="J4" s="7"/>
      <c r="K4" s="7"/>
      <c r="L4" s="7"/>
      <c r="M4" s="7"/>
      <c r="N4" s="7"/>
      <c r="P4" s="7" t="s">
        <v>6</v>
      </c>
      <c r="Q4" s="7" t="s">
        <v>7</v>
      </c>
      <c r="R4" s="7"/>
      <c r="S4" s="7"/>
      <c r="T4" s="7"/>
      <c r="U4" s="7"/>
      <c r="V4" s="7" t="s">
        <v>8</v>
      </c>
      <c r="W4" s="7"/>
      <c r="X4" s="7"/>
      <c r="Y4" s="7"/>
      <c r="Z4" s="7" t="s">
        <v>9</v>
      </c>
      <c r="AA4" s="7"/>
    </row>
    <row r="5" spans="1:32" ht="15">
      <c r="A5" s="7" t="s">
        <v>11</v>
      </c>
      <c r="B5" s="8" t="s">
        <v>30</v>
      </c>
      <c r="C5" s="8"/>
      <c r="D5" s="8" t="s">
        <v>13</v>
      </c>
      <c r="E5" s="8"/>
      <c r="F5" s="9"/>
      <c r="G5" s="7"/>
      <c r="H5" s="7"/>
      <c r="I5" s="7" t="s">
        <v>14</v>
      </c>
      <c r="J5" s="7"/>
      <c r="K5" s="7"/>
      <c r="L5" s="7"/>
      <c r="M5" s="7"/>
      <c r="N5" s="7"/>
      <c r="P5" s="8"/>
      <c r="Q5" s="8" t="s">
        <v>13</v>
      </c>
      <c r="R5" s="8"/>
      <c r="S5" s="9"/>
      <c r="T5" s="7"/>
      <c r="U5" s="7"/>
      <c r="V5" s="7" t="s">
        <v>14</v>
      </c>
      <c r="W5" s="7"/>
      <c r="X5" s="7"/>
      <c r="Y5" s="7"/>
      <c r="Z5" s="7" t="s">
        <v>15</v>
      </c>
      <c r="AA5" s="7"/>
    </row>
    <row r="6" spans="1:32">
      <c r="B6">
        <v>0</v>
      </c>
      <c r="D6" t="s">
        <v>18</v>
      </c>
      <c r="E6" t="s">
        <v>19</v>
      </c>
      <c r="F6" t="s">
        <v>20</v>
      </c>
      <c r="I6" t="s">
        <v>18</v>
      </c>
      <c r="J6" t="s">
        <v>19</v>
      </c>
      <c r="K6" t="s">
        <v>20</v>
      </c>
      <c r="P6">
        <v>0</v>
      </c>
      <c r="Q6" t="s">
        <v>18</v>
      </c>
      <c r="R6" t="s">
        <v>19</v>
      </c>
      <c r="S6" t="s">
        <v>20</v>
      </c>
      <c r="V6" t="s">
        <v>18</v>
      </c>
      <c r="W6" t="s">
        <v>19</v>
      </c>
      <c r="X6" t="s">
        <v>20</v>
      </c>
    </row>
    <row r="7" spans="1:32" ht="15">
      <c r="D7">
        <v>269.07780000000002</v>
      </c>
      <c r="E7">
        <v>0.61080000000000001</v>
      </c>
      <c r="F7">
        <v>5.8500000000000003E-2</v>
      </c>
      <c r="G7" t="s">
        <v>18</v>
      </c>
      <c r="I7" s="17">
        <v>1.5839000000000001</v>
      </c>
      <c r="J7" s="17">
        <v>0.23719999999999999</v>
      </c>
      <c r="K7" s="17">
        <v>-1.03E-2</v>
      </c>
      <c r="Q7" t="s">
        <v>33</v>
      </c>
      <c r="R7">
        <v>-8.6151</v>
      </c>
      <c r="S7">
        <v>-4.0902000000000003</v>
      </c>
      <c r="T7" t="s">
        <v>18</v>
      </c>
      <c r="V7">
        <v>-0.46360000000000001</v>
      </c>
      <c r="W7">
        <v>-0.75829999999999997</v>
      </c>
      <c r="X7">
        <v>1.4902</v>
      </c>
      <c r="Z7">
        <f>(Q8-R7)*X9 + (R9-S8)*V9 + (S7-Q9)*W9</f>
        <v>-3.7849543050547183</v>
      </c>
    </row>
    <row r="8" spans="1:32">
      <c r="D8">
        <v>-3.0851999999999999</v>
      </c>
      <c r="E8">
        <v>259.41309999999999</v>
      </c>
      <c r="F8">
        <v>0.10009999999999999</v>
      </c>
      <c r="G8" t="s">
        <v>19</v>
      </c>
      <c r="I8" t="s">
        <v>21</v>
      </c>
      <c r="Q8">
        <v>-11.461499999999999</v>
      </c>
      <c r="R8">
        <v>293.2407</v>
      </c>
      <c r="S8">
        <v>0.19</v>
      </c>
      <c r="T8" t="s">
        <v>19</v>
      </c>
      <c r="V8" t="s">
        <v>21</v>
      </c>
    </row>
    <row r="9" spans="1:32">
      <c r="D9">
        <v>9.7799999999999998E-2</v>
      </c>
      <c r="E9">
        <v>3.8399999999999997E-2</v>
      </c>
      <c r="F9">
        <v>273.62880000000001</v>
      </c>
      <c r="G9" t="s">
        <v>20</v>
      </c>
      <c r="I9">
        <f>I7*$AE$1</f>
        <v>0.62319495839999994</v>
      </c>
      <c r="J9">
        <f>J7*$AE$1</f>
        <v>9.3327763199999997E-2</v>
      </c>
      <c r="K9">
        <f>K7*$AE$1</f>
        <v>-4.0525967999999997E-3</v>
      </c>
      <c r="Q9">
        <v>-12.406599999999999</v>
      </c>
      <c r="R9">
        <v>-1.8123</v>
      </c>
      <c r="S9">
        <v>261.1123</v>
      </c>
      <c r="T9" t="s">
        <v>20</v>
      </c>
      <c r="V9">
        <f>V7*$AE$1</f>
        <v>-0.18240620159999998</v>
      </c>
      <c r="W9">
        <f t="shared" ref="W9:X9" si="0">W7*$AE$1</f>
        <v>-0.29835768479999997</v>
      </c>
      <c r="X9">
        <f t="shared" si="0"/>
        <v>0.58632813119999994</v>
      </c>
    </row>
    <row r="11" spans="1:32" ht="15">
      <c r="C11" t="s">
        <v>22</v>
      </c>
      <c r="D11">
        <f>AVERAGE(D7,E8,F9)</f>
        <v>267.3732333333333</v>
      </c>
      <c r="G11" s="17"/>
    </row>
    <row r="12" spans="1:32">
      <c r="A12" t="s">
        <v>34</v>
      </c>
      <c r="B12">
        <v>1E-3</v>
      </c>
      <c r="D12" t="s">
        <v>18</v>
      </c>
      <c r="E12" t="s">
        <v>19</v>
      </c>
      <c r="F12" t="s">
        <v>20</v>
      </c>
      <c r="I12" t="s">
        <v>18</v>
      </c>
      <c r="J12" t="s">
        <v>19</v>
      </c>
      <c r="K12" t="s">
        <v>20</v>
      </c>
    </row>
    <row r="13" spans="1:32" ht="15">
      <c r="D13">
        <v>268.99200000000002</v>
      </c>
      <c r="E13">
        <v>0.7631</v>
      </c>
      <c r="F13">
        <v>5.1900000000000002E-2</v>
      </c>
      <c r="G13" t="s">
        <v>18</v>
      </c>
      <c r="I13" s="17">
        <v>1.4934000000000001</v>
      </c>
      <c r="J13" s="17">
        <v>0.24460000000000001</v>
      </c>
      <c r="K13" s="17">
        <v>-9.7999999999999997E-3</v>
      </c>
    </row>
    <row r="14" spans="1:32">
      <c r="D14">
        <v>-3.2374000000000001</v>
      </c>
      <c r="E14">
        <v>259.5625</v>
      </c>
      <c r="F14">
        <v>0.107</v>
      </c>
      <c r="G14" t="s">
        <v>19</v>
      </c>
      <c r="I14" t="s">
        <v>21</v>
      </c>
    </row>
    <row r="15" spans="1:32">
      <c r="D15">
        <v>8.1600000000000006E-2</v>
      </c>
      <c r="E15">
        <v>4.7800000000000002E-2</v>
      </c>
      <c r="F15">
        <v>273.70940000000002</v>
      </c>
      <c r="G15" t="s">
        <v>20</v>
      </c>
      <c r="I15">
        <f t="shared" ref="I15:K15" si="1">I13*$AE$1</f>
        <v>0.58758719039999996</v>
      </c>
      <c r="J15">
        <f t="shared" si="1"/>
        <v>9.6239337600000002E-2</v>
      </c>
      <c r="K15">
        <f t="shared" si="1"/>
        <v>-3.8558687999999995E-3</v>
      </c>
    </row>
    <row r="17" spans="1:11" ht="15">
      <c r="C17" t="s">
        <v>22</v>
      </c>
      <c r="D17">
        <f t="shared" ref="D17" si="2">AVERAGE(D13,E14,F15)</f>
        <v>267.42129999999997</v>
      </c>
      <c r="G17" s="17"/>
    </row>
    <row r="18" spans="1:11">
      <c r="A18" t="s">
        <v>18</v>
      </c>
      <c r="B18">
        <v>-1E-3</v>
      </c>
      <c r="D18" t="s">
        <v>18</v>
      </c>
      <c r="E18" t="s">
        <v>19</v>
      </c>
      <c r="F18" t="s">
        <v>20</v>
      </c>
      <c r="I18" t="s">
        <v>18</v>
      </c>
      <c r="J18" t="s">
        <v>19</v>
      </c>
      <c r="K18" t="s">
        <v>20</v>
      </c>
    </row>
    <row r="19" spans="1:11" ht="15">
      <c r="D19">
        <v>269.05119999999999</v>
      </c>
      <c r="E19">
        <v>0.55389999999999995</v>
      </c>
      <c r="F19">
        <v>4.7800000000000002E-2</v>
      </c>
      <c r="G19" t="s">
        <v>18</v>
      </c>
      <c r="I19" s="17">
        <v>1.6761999999999999</v>
      </c>
      <c r="J19" s="17">
        <v>0.22869999999999999</v>
      </c>
      <c r="K19" s="17">
        <v>-8.9999999999999993E-3</v>
      </c>
    </row>
    <row r="20" spans="1:11">
      <c r="D20">
        <v>-2.8679000000000001</v>
      </c>
      <c r="E20">
        <v>259.3014</v>
      </c>
      <c r="F20">
        <v>0.1051</v>
      </c>
      <c r="G20" t="s">
        <v>19</v>
      </c>
      <c r="I20" t="s">
        <v>21</v>
      </c>
    </row>
    <row r="21" spans="1:11">
      <c r="D21">
        <v>7.3700000000000002E-2</v>
      </c>
      <c r="E21">
        <v>3.9199999999999999E-2</v>
      </c>
      <c r="F21">
        <v>273.6096</v>
      </c>
      <c r="G21" t="s">
        <v>20</v>
      </c>
      <c r="I21">
        <f t="shared" ref="I21:K21" si="3">I19*$AE$1</f>
        <v>0.65951094719999992</v>
      </c>
      <c r="J21">
        <f t="shared" si="3"/>
        <v>8.9983387199999987E-2</v>
      </c>
      <c r="K21">
        <f t="shared" si="3"/>
        <v>-3.5411039999999993E-3</v>
      </c>
    </row>
    <row r="23" spans="1:11" ht="15">
      <c r="C23" t="s">
        <v>22</v>
      </c>
      <c r="D23">
        <f t="shared" ref="D23" si="4">AVERAGE(D19,E20,F21)</f>
        <v>267.32073333333329</v>
      </c>
      <c r="G23" s="17"/>
    </row>
    <row r="30" spans="1:11">
      <c r="A30" t="s">
        <v>18</v>
      </c>
      <c r="B30">
        <v>2E-3</v>
      </c>
      <c r="D30" t="s">
        <v>18</v>
      </c>
      <c r="E30" t="s">
        <v>19</v>
      </c>
      <c r="F30" t="s">
        <v>20</v>
      </c>
      <c r="I30" t="s">
        <v>18</v>
      </c>
      <c r="J30" t="s">
        <v>19</v>
      </c>
      <c r="K30" t="s">
        <v>20</v>
      </c>
    </row>
    <row r="31" spans="1:11" ht="15">
      <c r="D31">
        <v>268.9513</v>
      </c>
      <c r="E31">
        <v>0.89129999999999998</v>
      </c>
      <c r="F31">
        <v>0.04</v>
      </c>
      <c r="G31" t="s">
        <v>18</v>
      </c>
      <c r="I31" s="17">
        <v>1.4016999999999999</v>
      </c>
      <c r="J31" s="17">
        <v>0.25259999999999999</v>
      </c>
      <c r="K31" s="17">
        <v>-8.2000000000000007E-3</v>
      </c>
    </row>
    <row r="32" spans="1:11">
      <c r="D32">
        <v>-3.4159000000000002</v>
      </c>
      <c r="E32">
        <v>259.73200000000003</v>
      </c>
      <c r="F32">
        <v>8.1799999999999998E-2</v>
      </c>
      <c r="G32" t="s">
        <v>19</v>
      </c>
      <c r="I32" t="s">
        <v>21</v>
      </c>
    </row>
    <row r="33" spans="1:11">
      <c r="D33">
        <v>7.1199999999999999E-2</v>
      </c>
      <c r="E33">
        <v>3.9800000000000002E-2</v>
      </c>
      <c r="F33">
        <v>273.80439999999999</v>
      </c>
      <c r="G33" t="s">
        <v>20</v>
      </c>
      <c r="I33">
        <f t="shared" ref="I33:K33" si="5">I31*$AE$1</f>
        <v>0.55150727519999998</v>
      </c>
      <c r="J33">
        <f t="shared" si="5"/>
        <v>9.9386985599999991E-2</v>
      </c>
      <c r="K33">
        <f t="shared" si="5"/>
        <v>-3.2263392E-3</v>
      </c>
    </row>
    <row r="35" spans="1:11" ht="15">
      <c r="C35" t="s">
        <v>22</v>
      </c>
      <c r="D35">
        <f t="shared" ref="D35" si="6">AVERAGE(D31,E32,F33)</f>
        <v>267.49590000000001</v>
      </c>
      <c r="G35" s="17"/>
    </row>
    <row r="36" spans="1:11">
      <c r="A36" t="s">
        <v>18</v>
      </c>
      <c r="B36">
        <v>-2E-3</v>
      </c>
      <c r="D36" t="s">
        <v>18</v>
      </c>
      <c r="E36" t="s">
        <v>19</v>
      </c>
      <c r="F36" t="s">
        <v>20</v>
      </c>
      <c r="I36" t="s">
        <v>18</v>
      </c>
      <c r="J36" t="s">
        <v>19</v>
      </c>
      <c r="K36" t="s">
        <v>20</v>
      </c>
    </row>
    <row r="37" spans="1:11" ht="15">
      <c r="D37">
        <v>269.0788</v>
      </c>
      <c r="E37">
        <v>0.44919999999999999</v>
      </c>
      <c r="F37">
        <v>5.11E-2</v>
      </c>
      <c r="G37" t="s">
        <v>18</v>
      </c>
      <c r="I37" s="17">
        <v>1.7665999999999999</v>
      </c>
      <c r="J37" s="17">
        <v>0.2208</v>
      </c>
      <c r="K37" s="17">
        <v>-9.5999999999999992E-3</v>
      </c>
    </row>
    <row r="38" spans="1:11">
      <c r="D38">
        <v>-2.6857000000000002</v>
      </c>
      <c r="E38">
        <v>259.16050000000001</v>
      </c>
      <c r="F38">
        <v>0.1153</v>
      </c>
      <c r="G38" t="s">
        <v>19</v>
      </c>
      <c r="I38" t="s">
        <v>21</v>
      </c>
    </row>
    <row r="39" spans="1:11">
      <c r="D39">
        <v>7.7799999999999994E-2</v>
      </c>
      <c r="E39">
        <v>3.95E-2</v>
      </c>
      <c r="F39">
        <v>273.55869999999999</v>
      </c>
      <c r="G39" t="s">
        <v>20</v>
      </c>
      <c r="I39">
        <f t="shared" ref="I39:K39" si="7">I37*$AE$1</f>
        <v>0.69507936959999994</v>
      </c>
      <c r="J39">
        <f t="shared" si="7"/>
        <v>8.6875084799999988E-2</v>
      </c>
      <c r="K39">
        <f t="shared" si="7"/>
        <v>-3.7771775999999994E-3</v>
      </c>
    </row>
    <row r="41" spans="1:11" ht="15">
      <c r="C41" t="s">
        <v>22</v>
      </c>
      <c r="D41">
        <f t="shared" ref="D41" si="8">AVERAGE(D37,E38,F39)</f>
        <v>267.26600000000002</v>
      </c>
      <c r="G41" s="17"/>
    </row>
    <row r="42" spans="1:11">
      <c r="A42" t="s">
        <v>19</v>
      </c>
      <c r="B42">
        <v>1E-3</v>
      </c>
      <c r="D42" t="s">
        <v>18</v>
      </c>
      <c r="E42" t="s">
        <v>19</v>
      </c>
      <c r="F42" t="s">
        <v>20</v>
      </c>
      <c r="I42" t="s">
        <v>18</v>
      </c>
      <c r="J42" t="s">
        <v>19</v>
      </c>
      <c r="K42" t="s">
        <v>20</v>
      </c>
    </row>
    <row r="43" spans="1:11" ht="15">
      <c r="D43">
        <v>268.89420000000001</v>
      </c>
      <c r="E43">
        <v>0.67010000000000003</v>
      </c>
      <c r="F43">
        <v>4.6899999999999997E-2</v>
      </c>
      <c r="G43" t="s">
        <v>18</v>
      </c>
      <c r="I43" s="17">
        <v>1.5936999999999999</v>
      </c>
      <c r="J43" s="17">
        <v>0.17649999999999999</v>
      </c>
      <c r="K43" s="17">
        <v>-9.7999999999999997E-3</v>
      </c>
    </row>
    <row r="44" spans="1:11">
      <c r="D44">
        <v>-2.9196</v>
      </c>
      <c r="E44">
        <v>259.14550000000003</v>
      </c>
      <c r="F44">
        <v>0.11</v>
      </c>
      <c r="G44" t="s">
        <v>19</v>
      </c>
      <c r="I44" t="s">
        <v>21</v>
      </c>
    </row>
    <row r="45" spans="1:11">
      <c r="D45">
        <v>8.0299999999999996E-2</v>
      </c>
      <c r="E45">
        <v>4.6300000000000001E-2</v>
      </c>
      <c r="F45">
        <v>273.50130000000001</v>
      </c>
      <c r="G45" t="s">
        <v>20</v>
      </c>
      <c r="I45">
        <f t="shared" ref="I45:K45" si="9">I43*$AE$1</f>
        <v>0.62705082719999994</v>
      </c>
      <c r="J45">
        <f t="shared" si="9"/>
        <v>6.9444983999999987E-2</v>
      </c>
      <c r="K45">
        <f t="shared" si="9"/>
        <v>-3.8558687999999995E-3</v>
      </c>
    </row>
    <row r="47" spans="1:11" ht="15">
      <c r="C47" t="s">
        <v>22</v>
      </c>
      <c r="D47">
        <f t="shared" ref="D47" si="10">AVERAGE(D43,E44,F45)</f>
        <v>267.18033333333335</v>
      </c>
      <c r="G47" s="17"/>
    </row>
    <row r="48" spans="1:11">
      <c r="A48" t="s">
        <v>19</v>
      </c>
      <c r="B48">
        <v>-1E-3</v>
      </c>
      <c r="D48" t="s">
        <v>18</v>
      </c>
      <c r="E48" t="s">
        <v>19</v>
      </c>
      <c r="F48" t="s">
        <v>20</v>
      </c>
      <c r="I48" t="s">
        <v>18</v>
      </c>
      <c r="J48" t="s">
        <v>19</v>
      </c>
      <c r="K48" t="s">
        <v>20</v>
      </c>
    </row>
    <row r="49" spans="1:11" ht="15">
      <c r="D49">
        <v>269.16129999999998</v>
      </c>
      <c r="E49">
        <v>0.62409999999999999</v>
      </c>
      <c r="F49">
        <v>4.2599999999999999E-2</v>
      </c>
      <c r="G49" t="s">
        <v>18</v>
      </c>
      <c r="I49" s="17">
        <v>1.5761000000000001</v>
      </c>
      <c r="J49" s="17">
        <v>0.29699999999999999</v>
      </c>
      <c r="K49" s="17">
        <v>-7.7000000000000002E-3</v>
      </c>
    </row>
    <row r="50" spans="1:11">
      <c r="D50">
        <v>-3.1941999999999999</v>
      </c>
      <c r="E50">
        <v>259.67559999999997</v>
      </c>
      <c r="F50">
        <v>8.3699999999999997E-2</v>
      </c>
      <c r="G50" t="s">
        <v>19</v>
      </c>
      <c r="I50" t="s">
        <v>21</v>
      </c>
    </row>
    <row r="51" spans="1:11">
      <c r="D51">
        <v>6.6699999999999995E-2</v>
      </c>
      <c r="E51">
        <v>3.2899999999999999E-2</v>
      </c>
      <c r="F51">
        <v>273.77550000000002</v>
      </c>
      <c r="G51" t="s">
        <v>20</v>
      </c>
      <c r="I51">
        <f t="shared" ref="I51:K51" si="11">I49*$AE$1</f>
        <v>0.62012600159999998</v>
      </c>
      <c r="J51">
        <f t="shared" si="11"/>
        <v>0.11685643199999998</v>
      </c>
      <c r="K51">
        <f t="shared" si="11"/>
        <v>-3.0296111999999998E-3</v>
      </c>
    </row>
    <row r="53" spans="1:11" ht="15">
      <c r="C53" t="s">
        <v>22</v>
      </c>
      <c r="D53">
        <f t="shared" ref="D53" si="12">AVERAGE(D49,E50,F51)</f>
        <v>267.53746666666666</v>
      </c>
      <c r="G53" s="17"/>
    </row>
    <row r="54" spans="1:11">
      <c r="A54" t="s">
        <v>19</v>
      </c>
      <c r="B54">
        <v>2E-3</v>
      </c>
      <c r="D54" t="s">
        <v>18</v>
      </c>
      <c r="E54" t="s">
        <v>19</v>
      </c>
      <c r="F54" t="s">
        <v>20</v>
      </c>
      <c r="I54" t="s">
        <v>18</v>
      </c>
      <c r="J54" t="s">
        <v>19</v>
      </c>
      <c r="K54" t="s">
        <v>20</v>
      </c>
    </row>
    <row r="55" spans="1:11" ht="15">
      <c r="D55">
        <v>268.74059999999997</v>
      </c>
      <c r="E55">
        <v>0.71809999999999996</v>
      </c>
      <c r="F55">
        <v>5.0299999999999997E-2</v>
      </c>
      <c r="G55" t="s">
        <v>18</v>
      </c>
      <c r="I55" s="17">
        <v>1.6032</v>
      </c>
      <c r="J55" s="17">
        <v>0.1162</v>
      </c>
      <c r="K55" s="17">
        <v>-0.01</v>
      </c>
    </row>
    <row r="56" spans="1:11">
      <c r="D56">
        <v>-2.7673999999999999</v>
      </c>
      <c r="E56">
        <v>258.88420000000002</v>
      </c>
      <c r="F56">
        <v>0.123</v>
      </c>
      <c r="G56" t="s">
        <v>19</v>
      </c>
      <c r="I56" t="s">
        <v>21</v>
      </c>
    </row>
    <row r="57" spans="1:11">
      <c r="D57">
        <v>7.5800000000000006E-2</v>
      </c>
      <c r="E57">
        <v>5.3400000000000003E-2</v>
      </c>
      <c r="F57">
        <v>273.35079999999999</v>
      </c>
      <c r="G57" t="s">
        <v>20</v>
      </c>
      <c r="I57">
        <f t="shared" ref="I57:K57" si="13">I55*$AE$1</f>
        <v>0.63078865919999993</v>
      </c>
      <c r="J57">
        <f t="shared" si="13"/>
        <v>4.5719587199999995E-2</v>
      </c>
      <c r="K57">
        <f t="shared" si="13"/>
        <v>-3.9345600000000001E-3</v>
      </c>
    </row>
    <row r="59" spans="1:11" ht="15">
      <c r="C59" t="s">
        <v>22</v>
      </c>
      <c r="D59">
        <f t="shared" ref="D59" si="14">AVERAGE(D55,E56,F57)</f>
        <v>266.99186666666668</v>
      </c>
      <c r="G59" s="17"/>
    </row>
    <row r="60" spans="1:11">
      <c r="A60" t="s">
        <v>19</v>
      </c>
      <c r="B60">
        <v>-2E-3</v>
      </c>
      <c r="D60" t="s">
        <v>18</v>
      </c>
      <c r="E60" t="s">
        <v>19</v>
      </c>
      <c r="F60" t="s">
        <v>20</v>
      </c>
      <c r="I60" t="s">
        <v>18</v>
      </c>
      <c r="J60" t="s">
        <v>19</v>
      </c>
      <c r="K60" t="s">
        <v>20</v>
      </c>
    </row>
    <row r="61" spans="1:11" ht="15">
      <c r="D61">
        <v>269.27760000000001</v>
      </c>
      <c r="E61">
        <v>0.61</v>
      </c>
      <c r="F61">
        <v>3.8399999999999997E-2</v>
      </c>
      <c r="G61" t="s">
        <v>18</v>
      </c>
      <c r="I61" s="17">
        <v>1.5649999999999999</v>
      </c>
      <c r="J61" s="17">
        <v>0.3574</v>
      </c>
      <c r="K61" s="17">
        <v>-5.8999999999999999E-3</v>
      </c>
    </row>
    <row r="62" spans="1:11">
      <c r="D62">
        <v>-3.3334999999999999</v>
      </c>
      <c r="E62">
        <v>259.95190000000002</v>
      </c>
      <c r="F62">
        <v>6.5600000000000006E-2</v>
      </c>
      <c r="G62" t="s">
        <v>19</v>
      </c>
      <c r="I62" t="s">
        <v>21</v>
      </c>
    </row>
    <row r="63" spans="1:11">
      <c r="D63">
        <v>5.2299999999999999E-2</v>
      </c>
      <c r="E63">
        <v>2.5000000000000001E-2</v>
      </c>
      <c r="F63">
        <v>273.95800000000003</v>
      </c>
      <c r="G63" t="s">
        <v>20</v>
      </c>
      <c r="I63">
        <f t="shared" ref="I63:K63" si="15">I61*$AE$1</f>
        <v>0.61575863999999991</v>
      </c>
      <c r="J63">
        <f t="shared" si="15"/>
        <v>0.14062117439999999</v>
      </c>
      <c r="K63">
        <f t="shared" si="15"/>
        <v>-2.3213903999999997E-3</v>
      </c>
    </row>
    <row r="65" spans="3:11" ht="15">
      <c r="C65" t="s">
        <v>22</v>
      </c>
      <c r="D65">
        <f t="shared" ref="D65" si="16">AVERAGE(D61,E62,F63)</f>
        <v>267.72916666666669</v>
      </c>
      <c r="G65" s="17"/>
    </row>
    <row r="67" spans="3:11" ht="15">
      <c r="I67" s="17"/>
      <c r="J67" s="17"/>
      <c r="K67" s="17"/>
    </row>
    <row r="71" spans="3:11" ht="15">
      <c r="G71" s="17"/>
    </row>
  </sheetData>
  <mergeCells count="1">
    <mergeCell ref="A4:B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1C57C-A386-40FA-830B-711AD8DC1D2D}">
  <dimension ref="A1:L6"/>
  <sheetViews>
    <sheetView tabSelected="1" workbookViewId="0">
      <selection activeCell="C13" sqref="C13"/>
    </sheetView>
  </sheetViews>
  <sheetFormatPr defaultColWidth="8.875" defaultRowHeight="14.25"/>
  <cols>
    <col min="1" max="1" width="12.125" bestFit="1" customWidth="1"/>
    <col min="2" max="3" width="9.25" bestFit="1" customWidth="1"/>
    <col min="5" max="5" width="9.25" bestFit="1" customWidth="1"/>
    <col min="7" max="7" width="12.125" customWidth="1"/>
    <col min="8" max="9" width="9.25" bestFit="1" customWidth="1"/>
    <col min="11" max="11" width="9.25" bestFit="1" customWidth="1"/>
  </cols>
  <sheetData>
    <row r="1" spans="1:12">
      <c r="A1" t="s">
        <v>40</v>
      </c>
      <c r="B1" t="s">
        <v>41</v>
      </c>
      <c r="C1" t="s">
        <v>42</v>
      </c>
      <c r="D1" t="s">
        <v>37</v>
      </c>
      <c r="E1" t="s">
        <v>38</v>
      </c>
    </row>
    <row r="2" spans="1:12">
      <c r="A2">
        <v>0</v>
      </c>
      <c r="B2">
        <v>261.35469999999998</v>
      </c>
      <c r="C2">
        <v>261.35660000000001</v>
      </c>
      <c r="D2">
        <f>ABS(B2-C2)</f>
        <v>1.9000000000346517E-3</v>
      </c>
      <c r="E2">
        <v>267.3732</v>
      </c>
    </row>
    <row r="3" spans="1:12">
      <c r="A3">
        <v>1E-3</v>
      </c>
      <c r="B3">
        <v>261.47579999999999</v>
      </c>
      <c r="C3">
        <v>261.25080000000003</v>
      </c>
      <c r="D3">
        <f>ABS(B3-C3)</f>
        <v>0.22499999999996589</v>
      </c>
      <c r="E3">
        <v>267.42129999999997</v>
      </c>
    </row>
    <row r="4" spans="1:12">
      <c r="A4">
        <v>-1E-3</v>
      </c>
      <c r="B4">
        <v>261.25200000000001</v>
      </c>
      <c r="C4">
        <v>261.47190000000001</v>
      </c>
      <c r="D4">
        <f>ABS(B4-C4)</f>
        <v>0.21989999999999554</v>
      </c>
      <c r="E4">
        <v>267.32069999999999</v>
      </c>
    </row>
    <row r="5" spans="1:12">
      <c r="A5">
        <v>2E-3</v>
      </c>
      <c r="B5">
        <v>261.59679999999997</v>
      </c>
      <c r="C5">
        <v>261.1463</v>
      </c>
      <c r="D5">
        <f>ABS(B5-C5)</f>
        <v>0.45049999999997681</v>
      </c>
      <c r="E5">
        <v>267.49590000000001</v>
      </c>
      <c r="F5">
        <f>E5-E6</f>
        <v>0.22989999999998645</v>
      </c>
      <c r="L5">
        <f>'Isotropic Change_Y'!E6-'Isotropic Change_Y'!E5</f>
        <v>0.73720000000002983</v>
      </c>
    </row>
    <row r="6" spans="1:12">
      <c r="A6">
        <v>-2E-3</v>
      </c>
      <c r="B6">
        <v>261.14170000000001</v>
      </c>
      <c r="C6">
        <v>261.59699999999998</v>
      </c>
      <c r="D6">
        <f>ABS(B6-C6)</f>
        <v>0.45529999999996562</v>
      </c>
      <c r="E6">
        <v>267.26600000000002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8197-3793-4380-AF08-D662FA7D8EF9}">
  <dimension ref="A1:E6"/>
  <sheetViews>
    <sheetView workbookViewId="0">
      <selection sqref="A1:XFD1"/>
    </sheetView>
  </sheetViews>
  <sheetFormatPr defaultRowHeight="14.25"/>
  <cols>
    <col min="1" max="1" width="11.375" bestFit="1" customWidth="1"/>
  </cols>
  <sheetData>
    <row r="1" spans="1:5">
      <c r="A1" t="s">
        <v>40</v>
      </c>
      <c r="B1" t="s">
        <v>41</v>
      </c>
      <c r="C1" t="s">
        <v>42</v>
      </c>
      <c r="D1" t="s">
        <v>37</v>
      </c>
      <c r="E1" t="s">
        <v>38</v>
      </c>
    </row>
    <row r="2" spans="1:5">
      <c r="A2">
        <v>0</v>
      </c>
      <c r="B2">
        <v>261.35469999999998</v>
      </c>
      <c r="C2">
        <v>261.35660000000001</v>
      </c>
      <c r="D2">
        <f>ABS(B2-C2)</f>
        <v>1.9000000000346517E-3</v>
      </c>
      <c r="E2">
        <v>267.3732</v>
      </c>
    </row>
    <row r="3" spans="1:5">
      <c r="A3">
        <v>1E-3</v>
      </c>
      <c r="B3">
        <v>261.49709999999999</v>
      </c>
      <c r="C3">
        <v>261.4914</v>
      </c>
      <c r="D3">
        <f>ABS(B3-C3)</f>
        <v>5.6999999999902684E-3</v>
      </c>
      <c r="E3">
        <v>267.18040000000002</v>
      </c>
    </row>
    <row r="4" spans="1:5">
      <c r="A4">
        <v>-1E-3</v>
      </c>
      <c r="B4">
        <v>261.17610000000002</v>
      </c>
      <c r="C4">
        <v>261.18400000000003</v>
      </c>
      <c r="D4">
        <f>ABS(B4-C4)</f>
        <v>7.9000000000064574E-3</v>
      </c>
      <c r="E4">
        <v>267.53750000000002</v>
      </c>
    </row>
    <row r="5" spans="1:5">
      <c r="A5">
        <v>2E-3</v>
      </c>
      <c r="B5">
        <v>261.60120000000001</v>
      </c>
      <c r="C5">
        <v>261.61419999999998</v>
      </c>
      <c r="D5">
        <f>ABS(B5-C5)</f>
        <v>1.2999999999976808E-2</v>
      </c>
      <c r="E5">
        <v>266.99189999999999</v>
      </c>
    </row>
    <row r="6" spans="1:5">
      <c r="A6">
        <v>-2E-3</v>
      </c>
      <c r="B6">
        <v>260.94009999999997</v>
      </c>
      <c r="C6">
        <v>260.92970000000003</v>
      </c>
      <c r="D6">
        <f>ABS(B6-C6)</f>
        <v>1.039999999994734E-2</v>
      </c>
      <c r="E6">
        <v>267.72910000000002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6C54-75E9-4F0D-8FCC-4A7779230C35}">
  <dimension ref="A1:I7"/>
  <sheetViews>
    <sheetView workbookViewId="0">
      <selection activeCell="K27" sqref="K27"/>
    </sheetView>
  </sheetViews>
  <sheetFormatPr defaultColWidth="8.875" defaultRowHeight="14.25"/>
  <cols>
    <col min="1" max="1" width="12.125" bestFit="1" customWidth="1"/>
    <col min="8" max="8" width="11.375" customWidth="1"/>
  </cols>
  <sheetData>
    <row r="1" spans="1:9">
      <c r="A1" t="s">
        <v>39</v>
      </c>
      <c r="H1" t="s">
        <v>35</v>
      </c>
    </row>
    <row r="2" spans="1:9">
      <c r="A2" t="s">
        <v>36</v>
      </c>
      <c r="B2" t="s">
        <v>9</v>
      </c>
      <c r="H2" t="s">
        <v>36</v>
      </c>
      <c r="I2" t="s">
        <v>9</v>
      </c>
    </row>
    <row r="3" spans="1:9">
      <c r="A3">
        <v>0</v>
      </c>
      <c r="B3">
        <f>'S-alanine_Ligand'!M7</f>
        <v>1.0528333492152</v>
      </c>
      <c r="H3">
        <v>0</v>
      </c>
      <c r="I3">
        <f>B3</f>
        <v>1.0528333492152</v>
      </c>
    </row>
    <row r="4" spans="1:9">
      <c r="A4">
        <v>1E-3</v>
      </c>
      <c r="B4">
        <f>'S-alanine_Ligand'!M16</f>
        <v>0.79498740111167998</v>
      </c>
      <c r="H4">
        <v>1E-3</v>
      </c>
      <c r="I4">
        <f>'S-alanine_Ligand'!M52</f>
        <v>0.80166532520256006</v>
      </c>
    </row>
    <row r="5" spans="1:9">
      <c r="A5">
        <v>-1E-3</v>
      </c>
      <c r="B5">
        <f>'S-alanine_Ligand'!M25</f>
        <v>1.3601896560235205</v>
      </c>
      <c r="H5">
        <v>-1E-3</v>
      </c>
      <c r="I5">
        <f>'S-alanine_Ligand'!M61</f>
        <v>1.2479207203209599</v>
      </c>
    </row>
    <row r="6" spans="1:9">
      <c r="A6">
        <v>2E-3</v>
      </c>
      <c r="B6">
        <f>'S-alanine_Ligand'!M34</f>
        <v>0.57491107680384046</v>
      </c>
      <c r="H6">
        <v>2E-3</v>
      </c>
      <c r="I6">
        <f>'S-alanine_Ligand'!M70</f>
        <v>0.47790298126368014</v>
      </c>
    </row>
    <row r="7" spans="1:9">
      <c r="A7">
        <v>-2E-3</v>
      </c>
      <c r="B7">
        <f>'S-alanine_Ligand'!M43</f>
        <v>1.7145569749224003</v>
      </c>
      <c r="H7">
        <v>-2E-3</v>
      </c>
      <c r="I7">
        <f>'S-alanine_Ligand'!M79</f>
        <v>1.26397138405776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R-alanine_Ligand</vt:lpstr>
      <vt:lpstr>S-alanine_Ligand</vt:lpstr>
      <vt:lpstr>Glycine_Ligand</vt:lpstr>
      <vt:lpstr>Isotropic Change_X</vt:lpstr>
      <vt:lpstr>Isotropic Change_Y</vt:lpstr>
      <vt:lpstr>Geometry factor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Shiva Agarwal</cp:lastModifiedBy>
  <cp:revision/>
  <dcterms:created xsi:type="dcterms:W3CDTF">2006-09-16T00:00:00Z</dcterms:created>
  <dcterms:modified xsi:type="dcterms:W3CDTF">2025-01-26T20:28:49Z</dcterms:modified>
  <cp:category/>
  <cp:contentStatus/>
</cp:coreProperties>
</file>